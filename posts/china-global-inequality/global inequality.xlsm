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e0e296ac00424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mfa.sharepoint.com/sites/Norad-Avd-Kunnskap/Shared Documents/Statistikk og analyse/10. Formidling - ekstern og intern/01. Blogg/china-global-inequality/"/>
    </mc:Choice>
  </mc:AlternateContent>
  <xr:revisionPtr revIDLastSave="37" documentId="10_ncr:20000_{7313FBC4-E0E6-4B42-8B0E-74A917B2DE4F}" xr6:coauthVersionLast="47" xr6:coauthVersionMax="47" xr10:uidLastSave="{B1E4D062-C4D2-4EEC-9E87-68CE7C48E93A}"/>
  <bookViews>
    <workbookView xWindow="-21375" yWindow="-8580" windowWidth="21600" windowHeight="25530" activeTab="1" xr2:uid="{EE8734AB-B481-42BB-9CFD-82E5D684F98A}"/>
  </bookViews>
  <sheets>
    <sheet name="Page 60-Fig 1 and 2" sheetId="3" r:id="rId1"/>
    <sheet name="fig 4" sheetId="2" r:id="rId2"/>
    <sheet name="datagrunnlag til fig 4" sheetId="8" r:id="rId3"/>
    <sheet name="Sheet1" sheetId="7" state="hidden" r:id="rId4"/>
  </sheets>
  <definedNames>
    <definedName name="ExternalData_1" localSheetId="0" hidden="1">'Page 60-Fig 1 and 2'!$A$1:$K$16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533E72-4554-4E14-A781-546A63E4D9D4}" keepAlive="1" name="Query - Table016 (Page 59)" description="Connection to the 'Table016 (Page 59)' query in the workbook." type="5" refreshedVersion="8" background="1" saveData="1">
    <dbPr connection="Provider=Microsoft.Mashup.OleDb.1;Data Source=$Workbook$;Location=&quot;Table016 (Page 59)&quot;;Extended Properties=&quot;&quot;" command="SELECT * FROM [Table016 (Page 59)]"/>
  </connection>
  <connection id="2" xr16:uid="{4836B91C-3763-4F3E-AB43-E2485C34E2B6}" keepAlive="1" name="Query - Table017 (Page 60)" description="Connection to the 'Table017 (Page 60)' query in the workbook." type="5" refreshedVersion="8" background="1" saveData="1">
    <dbPr connection="Provider=Microsoft.Mashup.OleDb.1;Data Source=$Workbook$;Location=&quot;Table017 (Page 60)&quot;;Extended Properties=&quot;&quot;" command="SELECT * FROM [Table017 (Page 60)]"/>
  </connection>
  <connection id="3" xr16:uid="{64F3EE0F-1404-4CD4-8286-02398EDE4026}" keepAlive="1" name="Query - Table017 (Page 60) (2)" description="Connection to the 'Table017 (Page 60) (2)' query in the workbook." type="5" refreshedVersion="0" background="1" saveData="1">
    <dbPr connection="Provider=Microsoft.Mashup.OleDb.1;Data Source=$Workbook$;Location=&quot;Table017 (Page 60) (2)&quot;;Extended Properties=&quot;&quot;" command="SELECT * FROM [Table017 (Page 60) (2)]"/>
  </connection>
  <connection id="4" xr16:uid="{3CDBD73F-BBCF-4E9D-B9DE-14318BEB6B78}" keepAlive="1" name="Query - Table018 (Page 61)" description="Connection to the 'Table018 (Page 61)' query in the workbook." type="5" refreshedVersion="0" background="1" saveData="1">
    <dbPr connection="Provider=Microsoft.Mashup.OleDb.1;Data Source=$Workbook$;Location=&quot;Table018 (Page 61)&quot;;Extended Properties=&quot;&quot;" command="SELECT * FROM [Table018 (Page 61)]"/>
  </connection>
  <connection id="5" xr16:uid="{C2CF1EC1-251C-4E79-AD3A-0FEE692A0FDE}" keepAlive="1" name="Query - Table018 (Page 61) (2)" description="Connection to the 'Table018 (Page 61) (2)' query in the workbook." type="5" refreshedVersion="8" background="1" saveData="1">
    <dbPr connection="Provider=Microsoft.Mashup.OleDb.1;Data Source=$Workbook$;Location=&quot;Table018 (Page 61) (2)&quot;;Extended Properties=&quot;&quot;" command="SELECT * FROM [Table018 (Page 61) (2)]"/>
  </connection>
</connections>
</file>

<file path=xl/sharedStrings.xml><?xml version="1.0" encoding="utf-8"?>
<sst xmlns="http://schemas.openxmlformats.org/spreadsheetml/2006/main" count="113" uniqueCount="62">
  <si>
    <t>Column1</t>
  </si>
  <si>
    <t>1820</t>
  </si>
  <si>
    <t>1850</t>
  </si>
  <si>
    <t>1870</t>
  </si>
  <si>
    <t>1890</t>
  </si>
  <si>
    <t>1910</t>
  </si>
  <si>
    <t>1929</t>
  </si>
  <si>
    <t>1950</t>
  </si>
  <si>
    <t>1960</t>
  </si>
  <si>
    <t>1970</t>
  </si>
  <si>
    <t>1980</t>
  </si>
  <si>
    <t>1988</t>
  </si>
  <si>
    <t>1993</t>
  </si>
  <si>
    <t>1998</t>
  </si>
  <si>
    <t>2003</t>
  </si>
  <si>
    <t>2008</t>
  </si>
  <si>
    <t>2011</t>
  </si>
  <si>
    <t>2013</t>
  </si>
  <si>
    <t>2018</t>
  </si>
  <si>
    <t>Source of data</t>
  </si>
  <si>
    <t>Revised Bourguignon-Morrisson data</t>
  </si>
  <si>
    <t>Nationally-representative household surveys</t>
  </si>
  <si>
    <t>Gini points</t>
  </si>
  <si>
    <t/>
  </si>
  <si>
    <t>Global</t>
  </si>
  <si>
    <t>59</t>
  </si>
  <si>
    <t>68</t>
  </si>
  <si>
    <t>Between-country
inequality</t>
  </si>
  <si>
    <t>36</t>
  </si>
  <si>
    <t>62</t>
  </si>
  <si>
    <t>Residual inequality
(within- and overlap)</t>
  </si>
  <si>
    <t>23</t>
  </si>
  <si>
    <t>6</t>
  </si>
  <si>
    <t>Share of the between
inequality (in %)</t>
  </si>
  <si>
    <t>61</t>
  </si>
  <si>
    <t>91</t>
  </si>
  <si>
    <t>Theil (0) points</t>
  </si>
  <si>
    <t>93</t>
  </si>
  <si>
    <t>24</t>
  </si>
  <si>
    <t>70</t>
  </si>
  <si>
    <t>Within-country
inequality</t>
  </si>
  <si>
    <t>37</t>
  </si>
  <si>
    <t>39</t>
  </si>
  <si>
    <t>Data coverage</t>
  </si>
  <si>
    <t>Number of regions</t>
  </si>
  <si>
    <t>33</t>
  </si>
  <si>
    <t>Number of countries
with GDP per capita</t>
  </si>
  <si>
    <t>40</t>
  </si>
  <si>
    <t>1</t>
  </si>
  <si>
    <t>Fig 1</t>
  </si>
  <si>
    <t>year</t>
  </si>
  <si>
    <t>data from world bank   https://databank.worldbank.org/reports.aspx?source=2&amp;series=NY.GDP.PCAP.KD.ZG&amp;country=CHN#</t>
  </si>
  <si>
    <t>data from SWIID on inequality  (see data grunnlag til fig 4)</t>
  </si>
  <si>
    <t>GDP per capita growth (annual %)</t>
  </si>
  <si>
    <t>growth global inequality (gini mkt SWIID)</t>
  </si>
  <si>
    <t>Data for fig 4. ( world Gini)</t>
  </si>
  <si>
    <t>Average of gini_mkt</t>
  </si>
  <si>
    <t>growth global inequality gini mkt</t>
  </si>
  <si>
    <t>avg gini mkt global with china</t>
  </si>
  <si>
    <t>avg gini mkt global without china</t>
  </si>
  <si>
    <t>china gdp pc growth</t>
  </si>
  <si>
    <t>gini mkt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</si>
</sst>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0">
    <font>
      <sz val="10"/>
      <color theme="1"/>
      <name val="Norad Sans"/>
      <scheme val="minor"/>
    </font>
    <font>
      <b/>
      <sz val="11"/>
      <color theme="1"/>
      <name val="Norad Sans"/>
      <family val="2"/>
      <scheme val="minor"/>
    </font>
    <font>
      <sz val="10"/>
      <color rgb="FF5B0337"/>
      <name val="Norad Sans Bold"/>
      <charset val="1"/>
    </font>
    <font>
      <sz val="10"/>
      <color rgb="FFC47521"/>
      <name val="Norad Sans Bold"/>
      <charset val="1"/>
    </font>
    <font>
      <sz val="10"/>
      <color theme="3"/>
      <name val="Norad Sans Bold"/>
      <charset val="1"/>
    </font>
    <font>
      <sz val="15"/>
      <color theme="1"/>
      <name val="Norad Sans Bold"/>
      <charset val="1"/>
    </font>
    <font>
      <b/>
      <sz val="13"/>
      <color theme="1"/>
      <name val="Norad Sans"/>
      <family val="2"/>
      <scheme val="minor"/>
    </font>
    <font>
      <sz val="18"/>
      <color theme="1"/>
      <name val="Norad Serif"/>
      <family val="2"/>
      <scheme val="major"/>
    </font>
    <font>
      <sz val="10"/>
      <color theme="1"/>
      <name val="Norad Sans"/>
      <scheme val="minor"/>
    </font>
    <font>
      <b/>
      <sz val="10"/>
      <color theme="1"/>
      <name val="Norad Sans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A27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3DCC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 style="thick">
        <color rgb="FFE1E11F"/>
      </bottom>
      <diagonal/>
    </border>
    <border>
      <left/>
      <right/>
      <top/>
      <bottom style="thick">
        <color rgb="FFB4EAC9"/>
      </bottom>
      <diagonal/>
    </border>
    <border>
      <left/>
      <right/>
      <top/>
      <bottom style="medium">
        <color rgb="FFB4EAC9"/>
      </bottom>
      <diagonal/>
    </border>
    <border>
      <left/>
      <right/>
      <top style="thin">
        <color theme="5"/>
      </top>
      <bottom style="double">
        <color theme="5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1" fillId="0" borderId="3" applyNumberFormat="0" applyFill="0" applyAlignment="0" applyProtection="0"/>
    <xf numFmtId="0" fontId="1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2" fillId="2" borderId="0" applyNumberFormat="0" applyBorder="0" applyAlignment="0" applyProtection="0"/>
    <xf numFmtId="0" fontId="3" fillId="4" borderId="0" applyNumberFormat="0" applyBorder="0" applyAlignment="0" applyProtection="0"/>
    <xf numFmtId="0" fontId="1" fillId="0" borderId="4" applyNumberFormat="0" applyFill="0" applyAlignment="0" applyProtection="0"/>
    <xf numFmtId="0" fontId="4" fillId="0" borderId="0" applyNumberFormat="0" applyBorder="0" applyAlignment="0" applyProtection="0"/>
    <xf numFmtId="9" fontId="8" fillId="0" borderId="0" applyFont="0" applyFill="0" applyBorder="0" applyAlignment="0" applyProtection="0"/>
  </cellStyleXfs>
  <cellXfs count="13">
    <xf numFmtId="0" fontId="0" fillId="0" borderId="0" xfId="0"/>
    <xf numFmtId="0" fontId="0" fillId="5" borderId="0" xfId="0" applyFill="1"/>
    <xf numFmtId="1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Alignment="1">
      <alignment horizontal="center"/>
    </xf>
    <xf numFmtId="165" fontId="0" fillId="0" borderId="0" xfId="0" applyNumberFormat="1"/>
    <xf numFmtId="0" fontId="1" fillId="7" borderId="7" xfId="0" applyFont="1" applyFill="1" applyBorder="1"/>
    <xf numFmtId="164" fontId="0" fillId="0" borderId="0" xfId="11" applyNumberFormat="1" applyFont="1"/>
    <xf numFmtId="0" fontId="9" fillId="0" borderId="0" xfId="0" applyFont="1"/>
    <xf numFmtId="0" fontId="9" fillId="0" borderId="0" xfId="0" applyFont="1" applyAlignment="1">
      <alignment horizontal="center"/>
    </xf>
  </cellXfs>
  <cellStyles count="12">
    <cellStyle name="Bad" xfId="7" builtinId="27" customBuiltin="1"/>
    <cellStyle name="God 2" xfId="10" xr:uid="{1546B623-0FF3-4CE7-80E4-135660E96C5F}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eutral" xfId="8" builtinId="28" customBuiltin="1"/>
    <cellStyle name="Normal" xfId="0" builtinId="0" customBuiltin="1"/>
    <cellStyle name="Percent" xfId="11" builtinId="5"/>
    <cellStyle name="Title" xfId="1" builtinId="15" customBuiltin="1"/>
    <cellStyle name="Total" xfId="9" builtinId="25" customBuiltin="1"/>
  </cellStyles>
  <dxfs count="0"/>
  <tableStyles count="0" defaultTableStyle="TableStyleLight9" defaultPivotStyle="PivotStyleLight16"/>
  <colors>
    <mruColors>
      <color rgb="FFF3DCCB"/>
      <color rgb="FFC47521"/>
      <color rgb="FFFFA274"/>
      <color rgb="FF5B0337"/>
      <color rgb="FFB4EAC9"/>
      <color rgb="FFE1E1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Inequality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'Page 60-Fig 1 and 2'!$B$21</c:f>
              <c:strCache>
                <c:ptCount val="1"/>
                <c:pt idx="0">
                  <c:v>Global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  <a:effectLst/>
            </c:spPr>
          </c:marker>
          <c:cat>
            <c:strRef>
              <c:f>'Page 60-Fig 1 and 2'!$A$22:$A$39</c:f>
              <c:strCache>
                <c:ptCount val="18"/>
                <c:pt idx="0">
                  <c:v>1820</c:v>
                </c:pt>
                <c:pt idx="1">
                  <c:v>1850</c:v>
                </c:pt>
                <c:pt idx="2">
                  <c:v>1870</c:v>
                </c:pt>
                <c:pt idx="3">
                  <c:v>1890</c:v>
                </c:pt>
                <c:pt idx="4">
                  <c:v>1910</c:v>
                </c:pt>
                <c:pt idx="5">
                  <c:v>1929</c:v>
                </c:pt>
                <c:pt idx="6">
                  <c:v>1950</c:v>
                </c:pt>
                <c:pt idx="7">
                  <c:v>1960</c:v>
                </c:pt>
                <c:pt idx="8">
                  <c:v>1970</c:v>
                </c:pt>
                <c:pt idx="9">
                  <c:v>1980</c:v>
                </c:pt>
                <c:pt idx="10">
                  <c:v>1988</c:v>
                </c:pt>
                <c:pt idx="11">
                  <c:v>1993</c:v>
                </c:pt>
                <c:pt idx="12">
                  <c:v>1998</c:v>
                </c:pt>
                <c:pt idx="13">
                  <c:v>2003</c:v>
                </c:pt>
                <c:pt idx="14">
                  <c:v>2008</c:v>
                </c:pt>
                <c:pt idx="15">
                  <c:v>2011</c:v>
                </c:pt>
                <c:pt idx="16">
                  <c:v>2013</c:v>
                </c:pt>
                <c:pt idx="17">
                  <c:v>2018</c:v>
                </c:pt>
              </c:strCache>
            </c:strRef>
          </c:cat>
          <c:val>
            <c:numRef>
              <c:f>'Page 60-Fig 1 and 2'!$B$22:$B$39</c:f>
              <c:numCache>
                <c:formatCode>0</c:formatCode>
                <c:ptCount val="18"/>
                <c:pt idx="0">
                  <c:v>49</c:v>
                </c:pt>
                <c:pt idx="1">
                  <c:v>54</c:v>
                </c:pt>
                <c:pt idx="2">
                  <c:v>56</c:v>
                </c:pt>
                <c:pt idx="3" formatCode="General">
                  <c:v>59</c:v>
                </c:pt>
                <c:pt idx="4">
                  <c:v>62</c:v>
                </c:pt>
                <c:pt idx="5">
                  <c:v>62</c:v>
                </c:pt>
                <c:pt idx="6">
                  <c:v>66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69</c:v>
                </c:pt>
                <c:pt idx="11">
                  <c:v>69</c:v>
                </c:pt>
                <c:pt idx="12" formatCode="General">
                  <c:v>68</c:v>
                </c:pt>
                <c:pt idx="13">
                  <c:v>69</c:v>
                </c:pt>
                <c:pt idx="14">
                  <c:v>66</c:v>
                </c:pt>
                <c:pt idx="15">
                  <c:v>63</c:v>
                </c:pt>
                <c:pt idx="16">
                  <c:v>62</c:v>
                </c:pt>
                <c:pt idx="1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39-444E-876A-693F77B72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095240"/>
        <c:axId val="340094520"/>
      </c:lineChart>
      <c:dateAx>
        <c:axId val="34009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094520"/>
        <c:crosses val="autoZero"/>
        <c:auto val="0"/>
        <c:lblOffset val="100"/>
        <c:baseTimeUnit val="days"/>
        <c:minorUnit val="50"/>
      </c:dateAx>
      <c:valAx>
        <c:axId val="34009452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095240"/>
        <c:crosses val="autoZero"/>
        <c:crossBetween val="between"/>
      </c:valAx>
      <c:spPr>
        <a:noFill/>
        <a:ln>
          <a:noFill/>
          <a:prstDash val="solid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Decomposition of Global</a:t>
            </a:r>
            <a:r>
              <a:rPr lang="nb-NO" baseline="0"/>
              <a:t> inequality</a:t>
            </a:r>
            <a:endParaRPr lang="nb-N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'Page 60-Fig 1 and 2'!$E$21</c:f>
              <c:strCache>
                <c:ptCount val="1"/>
                <c:pt idx="0">
                  <c:v>Between-country
inequality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'Page 60-Fig 1 and 2'!$C$22:$C$38</c:f>
              <c:strCache>
                <c:ptCount val="17"/>
                <c:pt idx="0">
                  <c:v>1820</c:v>
                </c:pt>
                <c:pt idx="1">
                  <c:v>1850</c:v>
                </c:pt>
                <c:pt idx="2">
                  <c:v>1870</c:v>
                </c:pt>
                <c:pt idx="3">
                  <c:v>1890</c:v>
                </c:pt>
                <c:pt idx="4">
                  <c:v>1910</c:v>
                </c:pt>
                <c:pt idx="5">
                  <c:v>1929</c:v>
                </c:pt>
                <c:pt idx="6">
                  <c:v>1950</c:v>
                </c:pt>
                <c:pt idx="7">
                  <c:v>1960</c:v>
                </c:pt>
                <c:pt idx="8">
                  <c:v>1970</c:v>
                </c:pt>
                <c:pt idx="9">
                  <c:v>1980</c:v>
                </c:pt>
                <c:pt idx="10">
                  <c:v>1988</c:v>
                </c:pt>
                <c:pt idx="11">
                  <c:v>1993</c:v>
                </c:pt>
                <c:pt idx="12">
                  <c:v>1998</c:v>
                </c:pt>
                <c:pt idx="13">
                  <c:v>2003</c:v>
                </c:pt>
                <c:pt idx="14">
                  <c:v>2011</c:v>
                </c:pt>
                <c:pt idx="15">
                  <c:v>2013</c:v>
                </c:pt>
                <c:pt idx="16">
                  <c:v>2018</c:v>
                </c:pt>
              </c:strCache>
            </c:strRef>
          </c:cat>
          <c:val>
            <c:numRef>
              <c:f>'Page 60-Fig 1 and 2'!$E$22:$E$38</c:f>
              <c:numCache>
                <c:formatCode>General</c:formatCode>
                <c:ptCount val="17"/>
                <c:pt idx="0">
                  <c:v>7</c:v>
                </c:pt>
                <c:pt idx="1">
                  <c:v>14</c:v>
                </c:pt>
                <c:pt idx="2">
                  <c:v>18</c:v>
                </c:pt>
                <c:pt idx="3">
                  <c:v>24</c:v>
                </c:pt>
                <c:pt idx="4">
                  <c:v>34</c:v>
                </c:pt>
                <c:pt idx="5">
                  <c:v>37</c:v>
                </c:pt>
                <c:pt idx="6">
                  <c:v>60</c:v>
                </c:pt>
                <c:pt idx="7">
                  <c:v>59</c:v>
                </c:pt>
                <c:pt idx="8">
                  <c:v>63</c:v>
                </c:pt>
                <c:pt idx="9">
                  <c:v>67</c:v>
                </c:pt>
                <c:pt idx="10">
                  <c:v>81</c:v>
                </c:pt>
                <c:pt idx="11">
                  <c:v>75</c:v>
                </c:pt>
                <c:pt idx="12">
                  <c:v>70</c:v>
                </c:pt>
                <c:pt idx="13">
                  <c:v>70</c:v>
                </c:pt>
                <c:pt idx="14">
                  <c:v>55</c:v>
                </c:pt>
                <c:pt idx="15">
                  <c:v>45</c:v>
                </c:pt>
                <c:pt idx="16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E-4825-8165-39CC8DFE1CBE}"/>
            </c:ext>
          </c:extLst>
        </c:ser>
        <c:ser>
          <c:idx val="1"/>
          <c:order val="1"/>
          <c:tx>
            <c:strRef>
              <c:f>'Page 60-Fig 1 and 2'!$F$21</c:f>
              <c:strCache>
                <c:ptCount val="1"/>
                <c:pt idx="0">
                  <c:v>Within-country
inequality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'Page 60-Fig 1 and 2'!$C$22:$C$38</c:f>
              <c:strCache>
                <c:ptCount val="17"/>
                <c:pt idx="0">
                  <c:v>1820</c:v>
                </c:pt>
                <c:pt idx="1">
                  <c:v>1850</c:v>
                </c:pt>
                <c:pt idx="2">
                  <c:v>1870</c:v>
                </c:pt>
                <c:pt idx="3">
                  <c:v>1890</c:v>
                </c:pt>
                <c:pt idx="4">
                  <c:v>1910</c:v>
                </c:pt>
                <c:pt idx="5">
                  <c:v>1929</c:v>
                </c:pt>
                <c:pt idx="6">
                  <c:v>1950</c:v>
                </c:pt>
                <c:pt idx="7">
                  <c:v>1960</c:v>
                </c:pt>
                <c:pt idx="8">
                  <c:v>1970</c:v>
                </c:pt>
                <c:pt idx="9">
                  <c:v>1980</c:v>
                </c:pt>
                <c:pt idx="10">
                  <c:v>1988</c:v>
                </c:pt>
                <c:pt idx="11">
                  <c:v>1993</c:v>
                </c:pt>
                <c:pt idx="12">
                  <c:v>1998</c:v>
                </c:pt>
                <c:pt idx="13">
                  <c:v>2003</c:v>
                </c:pt>
                <c:pt idx="14">
                  <c:v>2011</c:v>
                </c:pt>
                <c:pt idx="15">
                  <c:v>2013</c:v>
                </c:pt>
                <c:pt idx="16">
                  <c:v>2018</c:v>
                </c:pt>
              </c:strCache>
            </c:strRef>
          </c:cat>
          <c:val>
            <c:numRef>
              <c:f>'Page 60-Fig 1 and 2'!$F$22:$F$38</c:f>
              <c:numCache>
                <c:formatCode>General</c:formatCode>
                <c:ptCount val="17"/>
                <c:pt idx="0">
                  <c:v>35</c:v>
                </c:pt>
                <c:pt idx="1">
                  <c:v>35</c:v>
                </c:pt>
                <c:pt idx="2">
                  <c:v>37</c:v>
                </c:pt>
                <c:pt idx="3">
                  <c:v>37</c:v>
                </c:pt>
                <c:pt idx="4">
                  <c:v>38</c:v>
                </c:pt>
                <c:pt idx="5">
                  <c:v>35</c:v>
                </c:pt>
                <c:pt idx="6">
                  <c:v>28</c:v>
                </c:pt>
                <c:pt idx="7">
                  <c:v>29</c:v>
                </c:pt>
                <c:pt idx="8">
                  <c:v>27</c:v>
                </c:pt>
                <c:pt idx="9">
                  <c:v>27</c:v>
                </c:pt>
                <c:pt idx="10">
                  <c:v>19</c:v>
                </c:pt>
                <c:pt idx="11">
                  <c:v>22</c:v>
                </c:pt>
                <c:pt idx="12">
                  <c:v>23</c:v>
                </c:pt>
                <c:pt idx="13">
                  <c:v>24</c:v>
                </c:pt>
                <c:pt idx="14">
                  <c:v>23</c:v>
                </c:pt>
                <c:pt idx="15">
                  <c:v>31</c:v>
                </c:pt>
                <c:pt idx="16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5E-4825-8165-39CC8DFE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3276952"/>
        <c:axId val="1243278032"/>
      </c:barChart>
      <c:catAx>
        <c:axId val="12432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278032"/>
        <c:crosses val="autoZero"/>
        <c:auto val="1"/>
        <c:lblAlgn val="ctr"/>
        <c:lblOffset val="100"/>
        <c:noMultiLvlLbl val="0"/>
      </c:catAx>
      <c:valAx>
        <c:axId val="124327803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32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90966754155731"/>
          <c:y val="0.82399460484106157"/>
          <c:w val="0.75395844269466306"/>
          <c:h val="0.14822761738116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'fig 4'!$D$3</c:f>
              <c:strCache>
                <c:ptCount val="1"/>
                <c:pt idx="0">
                  <c:v>growth global inequality (gini mkt SWIID)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'fig 4'!$B$4:$B$49</c:f>
              <c:numCache>
                <c:formatCode>0.0</c:formatCode>
                <c:ptCount val="46"/>
                <c:pt idx="0">
                  <c:v>6.114001676047593</c:v>
                </c:pt>
                <c:pt idx="1">
                  <c:v>9.8461568480197457</c:v>
                </c:pt>
                <c:pt idx="2">
                  <c:v>6.1656637093229421</c:v>
                </c:pt>
                <c:pt idx="3">
                  <c:v>6.4901126551427666</c:v>
                </c:pt>
                <c:pt idx="4">
                  <c:v>3.7749036646334417</c:v>
                </c:pt>
                <c:pt idx="5">
                  <c:v>7.423410231937396</c:v>
                </c:pt>
                <c:pt idx="6">
                  <c:v>9.1811370495775293</c:v>
                </c:pt>
                <c:pt idx="7">
                  <c:v>13.690019840921863</c:v>
                </c:pt>
                <c:pt idx="8">
                  <c:v>11.896561710396725</c:v>
                </c:pt>
                <c:pt idx="9">
                  <c:v>7.341433471286777</c:v>
                </c:pt>
                <c:pt idx="10">
                  <c:v>9.8811637958546186</c:v>
                </c:pt>
                <c:pt idx="11">
                  <c:v>9.4461713568776844</c:v>
                </c:pt>
                <c:pt idx="12">
                  <c:v>2.6208591749210086</c:v>
                </c:pt>
                <c:pt idx="13">
                  <c:v>2.4065585719958307</c:v>
                </c:pt>
                <c:pt idx="14">
                  <c:v>7.7820919905075669</c:v>
                </c:pt>
                <c:pt idx="15">
                  <c:v>12.833209580712321</c:v>
                </c:pt>
                <c:pt idx="16">
                  <c:v>12.581996643928477</c:v>
                </c:pt>
                <c:pt idx="17">
                  <c:v>11.766389145624629</c:v>
                </c:pt>
                <c:pt idx="18">
                  <c:v>9.7549548902020149</c:v>
                </c:pt>
                <c:pt idx="19">
                  <c:v>8.7764298105264231</c:v>
                </c:pt>
                <c:pt idx="20">
                  <c:v>8.1244975770177632</c:v>
                </c:pt>
                <c:pt idx="21">
                  <c:v>6.8160645646963047</c:v>
                </c:pt>
                <c:pt idx="22">
                  <c:v>6.7334856584344607</c:v>
                </c:pt>
                <c:pt idx="23">
                  <c:v>7.6385976760329442</c:v>
                </c:pt>
                <c:pt idx="24">
                  <c:v>7.5516548315526393</c:v>
                </c:pt>
                <c:pt idx="25">
                  <c:v>8.4048799751456471</c:v>
                </c:pt>
                <c:pt idx="26">
                  <c:v>9.3547766439077407</c:v>
                </c:pt>
                <c:pt idx="27">
                  <c:v>9.4615587704990958</c:v>
                </c:pt>
                <c:pt idx="28">
                  <c:v>10.741375126402914</c:v>
                </c:pt>
                <c:pt idx="29">
                  <c:v>12.093304693902439</c:v>
                </c:pt>
                <c:pt idx="30">
                  <c:v>13.635820500640762</c:v>
                </c:pt>
                <c:pt idx="31">
                  <c:v>9.0902801015361803</c:v>
                </c:pt>
                <c:pt idx="32">
                  <c:v>8.8559476755555124</c:v>
                </c:pt>
                <c:pt idx="33">
                  <c:v>10.102832622713947</c:v>
                </c:pt>
                <c:pt idx="34">
                  <c:v>8.9538160418316295</c:v>
                </c:pt>
                <c:pt idx="35">
                  <c:v>7.1345237774802683</c:v>
                </c:pt>
                <c:pt idx="36">
                  <c:v>7.0507341338182101</c:v>
                </c:pt>
                <c:pt idx="37">
                  <c:v>6.7507603159427276</c:v>
                </c:pt>
                <c:pt idx="38">
                  <c:v>6.4207364772305624</c:v>
                </c:pt>
                <c:pt idx="39">
                  <c:v>6.2382154477522533</c:v>
                </c:pt>
                <c:pt idx="40">
                  <c:v>6.3018631005226098</c:v>
                </c:pt>
                <c:pt idx="41">
                  <c:v>6.2517005556988323</c:v>
                </c:pt>
                <c:pt idx="42">
                  <c:v>5.5753168630384948</c:v>
                </c:pt>
                <c:pt idx="43">
                  <c:v>1.9955580418692875</c:v>
                </c:pt>
                <c:pt idx="44">
                  <c:v>8.3507297147041157</c:v>
                </c:pt>
                <c:pt idx="45">
                  <c:v>3.0042967632348194</c:v>
                </c:pt>
              </c:numCache>
            </c:numRef>
          </c:xVal>
          <c:yVal>
            <c:numRef>
              <c:f>'fig 4'!$D$4:$D$49</c:f>
              <c:numCache>
                <c:formatCode>General</c:formatCode>
                <c:ptCount val="46"/>
                <c:pt idx="0">
                  <c:v>-1.8280534388473906</c:v>
                </c:pt>
                <c:pt idx="1">
                  <c:v>-1.7837235228539514E-2</c:v>
                </c:pt>
                <c:pt idx="2">
                  <c:v>-2.4778357591331863E-2</c:v>
                </c:pt>
                <c:pt idx="3">
                  <c:v>-0.42269077513876468</c:v>
                </c:pt>
                <c:pt idx="4">
                  <c:v>0.7261322042330598</c:v>
                </c:pt>
                <c:pt idx="5">
                  <c:v>-0.61466412995754804</c:v>
                </c:pt>
                <c:pt idx="6">
                  <c:v>0.62991868322459432</c:v>
                </c:pt>
                <c:pt idx="7">
                  <c:v>0.16421696149838103</c:v>
                </c:pt>
                <c:pt idx="8">
                  <c:v>0.53397698521081927</c:v>
                </c:pt>
                <c:pt idx="9">
                  <c:v>1.3699810667885695</c:v>
                </c:pt>
                <c:pt idx="10">
                  <c:v>-0.85915743319309512</c:v>
                </c:pt>
                <c:pt idx="11">
                  <c:v>-2.258689415751177</c:v>
                </c:pt>
                <c:pt idx="12">
                  <c:v>1.4189889154909445</c:v>
                </c:pt>
                <c:pt idx="13">
                  <c:v>-0.43116493553010721</c:v>
                </c:pt>
                <c:pt idx="14">
                  <c:v>1.3243312114767205</c:v>
                </c:pt>
                <c:pt idx="15">
                  <c:v>0.28101878201478503</c:v>
                </c:pt>
                <c:pt idx="16">
                  <c:v>1.9337609581928163</c:v>
                </c:pt>
                <c:pt idx="17">
                  <c:v>0.41737013238045417</c:v>
                </c:pt>
                <c:pt idx="18">
                  <c:v>0.2038901519251852</c:v>
                </c:pt>
                <c:pt idx="19">
                  <c:v>-4.3516100956864289E-3</c:v>
                </c:pt>
                <c:pt idx="20">
                  <c:v>-0.22909995671272637</c:v>
                </c:pt>
                <c:pt idx="21">
                  <c:v>3.1089275360624165E-2</c:v>
                </c:pt>
                <c:pt idx="22">
                  <c:v>-0.25665125129174621</c:v>
                </c:pt>
                <c:pt idx="23">
                  <c:v>0.67291627060254822</c:v>
                </c:pt>
                <c:pt idx="24">
                  <c:v>0.18021994499526095</c:v>
                </c:pt>
                <c:pt idx="25">
                  <c:v>0.61454361379556144</c:v>
                </c:pt>
                <c:pt idx="26">
                  <c:v>-0.59350772166191845</c:v>
                </c:pt>
                <c:pt idx="27">
                  <c:v>0.74051705896454489</c:v>
                </c:pt>
                <c:pt idx="28">
                  <c:v>-0.16262718563785378</c:v>
                </c:pt>
                <c:pt idx="29">
                  <c:v>-1.0821096633889353</c:v>
                </c:pt>
                <c:pt idx="30">
                  <c:v>-0.46723172485536313</c:v>
                </c:pt>
                <c:pt idx="31">
                  <c:v>6.9942539737774645E-2</c:v>
                </c:pt>
                <c:pt idx="32">
                  <c:v>0.1416232067930083</c:v>
                </c:pt>
                <c:pt idx="33">
                  <c:v>-0.34479993779552942</c:v>
                </c:pt>
                <c:pt idx="34">
                  <c:v>-0.13586489361595733</c:v>
                </c:pt>
                <c:pt idx="35">
                  <c:v>-1.4012207522476373E-2</c:v>
                </c:pt>
                <c:pt idx="36">
                  <c:v>-0.120501699987559</c:v>
                </c:pt>
                <c:pt idx="37">
                  <c:v>0.41219601418104818</c:v>
                </c:pt>
                <c:pt idx="38">
                  <c:v>-0.40252487461750275</c:v>
                </c:pt>
                <c:pt idx="39">
                  <c:v>0.1780974996507925</c:v>
                </c:pt>
                <c:pt idx="40">
                  <c:v>-1.2524867882864923</c:v>
                </c:pt>
                <c:pt idx="41">
                  <c:v>0.30339118524794834</c:v>
                </c:pt>
                <c:pt idx="42">
                  <c:v>3.2465434942769579E-2</c:v>
                </c:pt>
                <c:pt idx="43">
                  <c:v>1.6854317165074559</c:v>
                </c:pt>
                <c:pt idx="44">
                  <c:v>-0.74302627569237445</c:v>
                </c:pt>
                <c:pt idx="45">
                  <c:v>-1.9000366017324621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1-4FEE-B816-45ED6FAF1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387240"/>
        <c:axId val="1048391200"/>
      </c:scatterChart>
      <c:valAx>
        <c:axId val="1048387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China GDP pc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91200"/>
        <c:crosses val="autoZero"/>
        <c:crossBetween val="midCat"/>
      </c:valAx>
      <c:valAx>
        <c:axId val="1048391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Global inequality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8724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181852268466444"/>
          <c:y val="0.16687127177284658"/>
          <c:w val="0.6602037980546549"/>
          <c:h val="0.6197953948938201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gini mkt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Sheet1!$H$22:$H$64</c:f>
              <c:numCache>
                <c:formatCode>0.0</c:formatCode>
                <c:ptCount val="43"/>
                <c:pt idx="0">
                  <c:v>6.4901126551427666</c:v>
                </c:pt>
                <c:pt idx="1">
                  <c:v>3.7749036646334417</c:v>
                </c:pt>
                <c:pt idx="2">
                  <c:v>7.423410231937396</c:v>
                </c:pt>
                <c:pt idx="3">
                  <c:v>9.1811370495775293</c:v>
                </c:pt>
                <c:pt idx="4">
                  <c:v>13.690019840921863</c:v>
                </c:pt>
                <c:pt idx="5">
                  <c:v>11.896561710396725</c:v>
                </c:pt>
                <c:pt idx="6">
                  <c:v>7.341433471286777</c:v>
                </c:pt>
                <c:pt idx="7">
                  <c:v>9.8811637958546186</c:v>
                </c:pt>
                <c:pt idx="8">
                  <c:v>9.4461713568776844</c:v>
                </c:pt>
                <c:pt idx="9">
                  <c:v>2.6208591749210086</c:v>
                </c:pt>
                <c:pt idx="10">
                  <c:v>2.4065585719958307</c:v>
                </c:pt>
                <c:pt idx="11">
                  <c:v>7.7820919905075669</c:v>
                </c:pt>
                <c:pt idx="12">
                  <c:v>12.833209580712321</c:v>
                </c:pt>
                <c:pt idx="13">
                  <c:v>12.581996643928477</c:v>
                </c:pt>
                <c:pt idx="14">
                  <c:v>11.766389145624629</c:v>
                </c:pt>
                <c:pt idx="15">
                  <c:v>9.7549548902020149</c:v>
                </c:pt>
                <c:pt idx="16">
                  <c:v>8.7764298105264231</c:v>
                </c:pt>
                <c:pt idx="17">
                  <c:v>8.1244975770177632</c:v>
                </c:pt>
                <c:pt idx="18">
                  <c:v>6.8160645646963047</c:v>
                </c:pt>
                <c:pt idx="19">
                  <c:v>6.7334856584344607</c:v>
                </c:pt>
                <c:pt idx="20">
                  <c:v>7.6385976760329442</c:v>
                </c:pt>
                <c:pt idx="21">
                  <c:v>7.5516548315526393</c:v>
                </c:pt>
                <c:pt idx="22">
                  <c:v>8.4048799751456471</c:v>
                </c:pt>
                <c:pt idx="23">
                  <c:v>9.3547766439077407</c:v>
                </c:pt>
                <c:pt idx="24">
                  <c:v>9.4615587704990958</c:v>
                </c:pt>
                <c:pt idx="25">
                  <c:v>10.741375126402914</c:v>
                </c:pt>
                <c:pt idx="26">
                  <c:v>12.093304693902439</c:v>
                </c:pt>
                <c:pt idx="27">
                  <c:v>13.635820500640762</c:v>
                </c:pt>
                <c:pt idx="28">
                  <c:v>9.0902801015361803</c:v>
                </c:pt>
                <c:pt idx="29">
                  <c:v>8.8559476755555124</c:v>
                </c:pt>
                <c:pt idx="30">
                  <c:v>10.102832622713947</c:v>
                </c:pt>
                <c:pt idx="31">
                  <c:v>8.9538160418316295</c:v>
                </c:pt>
                <c:pt idx="32">
                  <c:v>7.1345237774802683</c:v>
                </c:pt>
                <c:pt idx="33">
                  <c:v>7.0507341338182101</c:v>
                </c:pt>
                <c:pt idx="34">
                  <c:v>6.7507603159427276</c:v>
                </c:pt>
                <c:pt idx="35">
                  <c:v>6.4207364772305624</c:v>
                </c:pt>
                <c:pt idx="36">
                  <c:v>6.2382154477522533</c:v>
                </c:pt>
                <c:pt idx="37">
                  <c:v>6.3018631005226098</c:v>
                </c:pt>
                <c:pt idx="38">
                  <c:v>6.2517005556988323</c:v>
                </c:pt>
                <c:pt idx="39">
                  <c:v>5.5753168630384948</c:v>
                </c:pt>
                <c:pt idx="40">
                  <c:v>1.9955580418692875</c:v>
                </c:pt>
                <c:pt idx="41">
                  <c:v>8.3507297147041157</c:v>
                </c:pt>
                <c:pt idx="42">
                  <c:v>3.0042967632348194</c:v>
                </c:pt>
              </c:numCache>
            </c:numRef>
          </c:xVal>
          <c:yVal>
            <c:numRef>
              <c:f>Sheet1!$I$22:$I$64</c:f>
              <c:numCache>
                <c:formatCode>General</c:formatCode>
                <c:ptCount val="43"/>
                <c:pt idx="0">
                  <c:v>-0.18578042328043409</c:v>
                </c:pt>
                <c:pt idx="1">
                  <c:v>0.31779953917050108</c:v>
                </c:pt>
                <c:pt idx="2">
                  <c:v>-0.27096774193547901</c:v>
                </c:pt>
                <c:pt idx="3">
                  <c:v>0.27598566308246575</c:v>
                </c:pt>
                <c:pt idx="4">
                  <c:v>7.2401433691730688E-2</c:v>
                </c:pt>
                <c:pt idx="5">
                  <c:v>0.23581112669471338</c:v>
                </c:pt>
                <c:pt idx="6">
                  <c:v>0.60823188405798589</c:v>
                </c:pt>
                <c:pt idx="7">
                  <c:v>-0.38666666666666316</c:v>
                </c:pt>
                <c:pt idx="8">
                  <c:v>-1.0077971014492988</c:v>
                </c:pt>
                <c:pt idx="9">
                  <c:v>0.61883340507964846</c:v>
                </c:pt>
                <c:pt idx="10">
                  <c:v>-0.19070297029703909</c:v>
                </c:pt>
                <c:pt idx="11">
                  <c:v>0.58322222222223274</c:v>
                </c:pt>
                <c:pt idx="12">
                  <c:v>0.12539682539681962</c:v>
                </c:pt>
                <c:pt idx="13">
                  <c:v>0.86531198686370914</c:v>
                </c:pt>
                <c:pt idx="14">
                  <c:v>0.19037475064122589</c:v>
                </c:pt>
                <c:pt idx="15">
                  <c:v>9.338842975204642E-2</c:v>
                </c:pt>
                <c:pt idx="16">
                  <c:v>-1.9972451790408741E-3</c:v>
                </c:pt>
                <c:pt idx="17">
                  <c:v>-0.10514473089101273</c:v>
                </c:pt>
                <c:pt idx="18">
                  <c:v>1.4235639981919235E-2</c:v>
                </c:pt>
                <c:pt idx="19">
                  <c:v>-0.11755599472992628</c:v>
                </c:pt>
                <c:pt idx="20">
                  <c:v>0.30743008777303515</c:v>
                </c:pt>
                <c:pt idx="21">
                  <c:v>8.2889752306940068E-2</c:v>
                </c:pt>
                <c:pt idx="22">
                  <c:v>0.28316050607789833</c:v>
                </c:pt>
                <c:pt idx="23">
                  <c:v>-0.27514847182657576</c:v>
                </c:pt>
                <c:pt idx="24">
                  <c:v>0.34126405618026467</c:v>
                </c:pt>
                <c:pt idx="25">
                  <c:v>-7.5501017183910335E-2</c:v>
                </c:pt>
                <c:pt idx="26">
                  <c:v>-0.50156136528686091</c:v>
                </c:pt>
                <c:pt idx="27">
                  <c:v>-0.21421997755328448</c:v>
                </c:pt>
                <c:pt idx="28">
                  <c:v>3.1917960088698294E-2</c:v>
                </c:pt>
                <c:pt idx="29">
                  <c:v>6.4674309916760819E-2</c:v>
                </c:pt>
                <c:pt idx="30">
                  <c:v>-0.15768093442743947</c:v>
                </c:pt>
                <c:pt idx="31">
                  <c:v>-6.1918328585015558E-2</c:v>
                </c:pt>
                <c:pt idx="32">
                  <c:v>-6.3771712159024219E-3</c:v>
                </c:pt>
                <c:pt idx="33">
                  <c:v>-5.4834492936919332E-2</c:v>
                </c:pt>
                <c:pt idx="34">
                  <c:v>0.18734443549108448</c:v>
                </c:pt>
                <c:pt idx="35">
                  <c:v>-0.18370297890848519</c:v>
                </c:pt>
                <c:pt idx="36">
                  <c:v>8.0952380952382441E-2</c:v>
                </c:pt>
                <c:pt idx="37">
                  <c:v>-0.57031886500912066</c:v>
                </c:pt>
                <c:pt idx="38">
                  <c:v>0.13641863825175449</c:v>
                </c:pt>
                <c:pt idx="39">
                  <c:v>1.4642242439137476E-2</c:v>
                </c:pt>
                <c:pt idx="40">
                  <c:v>0.7603936874257613</c:v>
                </c:pt>
                <c:pt idx="41">
                  <c:v>-0.34087115284298619</c:v>
                </c:pt>
                <c:pt idx="42">
                  <c:v>-0.86518518518517595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1-4422-B1E2-53569811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857008"/>
        <c:axId val="974859888"/>
      </c:scatterChart>
      <c:valAx>
        <c:axId val="97485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China GDP pc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859888"/>
        <c:crosses val="autoZero"/>
        <c:crossBetween val="midCat"/>
      </c:valAx>
      <c:valAx>
        <c:axId val="974859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global ineq change in p.p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85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160020</xdr:rowOff>
    </xdr:from>
    <xdr:to>
      <xdr:col>1</xdr:col>
      <xdr:colOff>704850</xdr:colOff>
      <xdr:row>54</xdr:row>
      <xdr:rowOff>60960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F97DA8D-9CF1-8340-A9EF-3B5C5A645B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422910</xdr:colOff>
      <xdr:row>39</xdr:row>
      <xdr:rowOff>160020</xdr:rowOff>
    </xdr:from>
    <xdr:to>
      <xdr:col>6</xdr:col>
      <xdr:colOff>453390</xdr:colOff>
      <xdr:row>53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05B9423-4E2C-AE63-840D-8A79472D5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312420</xdr:colOff>
      <xdr:row>18</xdr:row>
      <xdr:rowOff>129540</xdr:rowOff>
    </xdr:from>
    <xdr:to>
      <xdr:col>11</xdr:col>
      <xdr:colOff>289560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2B8DB9-C4E2-09CC-F66F-D8C7B9F3A8B7}"/>
            </a:ext>
          </a:extLst>
        </xdr:cNvPr>
        <xdr:cNvSpPr txBox="1"/>
      </xdr:nvSpPr>
      <xdr:spPr>
        <a:xfrm>
          <a:off x="10401300" y="3832860"/>
          <a:ext cx="1615440" cy="1013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b-NO" sz="1100"/>
            <a:t>data extrapolated by the</a:t>
          </a:r>
          <a:r>
            <a:rPr lang="nb-NO" sz="1100" baseline="0"/>
            <a:t> appendix pdf of Milanovic 2022. </a:t>
          </a:r>
          <a:r>
            <a:rPr lang="nb-NO">
              <a:hlinkClick xmlns:r="http://schemas.openxmlformats.org/officeDocument/2006/relationships" r:id=""/>
            </a:rPr>
            <a:t>SocArXiv Papers | The Three Eras of Global Inequality, 1820–2020, with the Focus on the Past Thirty Years (osf.io)</a:t>
          </a:r>
          <a:endParaRPr lang="nb-N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396240</xdr:colOff>
      <xdr:row>3</xdr:row>
      <xdr:rowOff>99060</xdr:rowOff>
    </xdr:from>
    <xdr:to>
      <xdr:col>11</xdr:col>
      <xdr:colOff>398584</xdr:colOff>
      <xdr:row>11</xdr:row>
      <xdr:rowOff>164123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889A19-8134-1E3B-6638-7161F1569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327660</xdr:colOff>
      <xdr:row>3</xdr:row>
      <xdr:rowOff>15240</xdr:rowOff>
    </xdr:from>
    <xdr:to>
      <xdr:col>14</xdr:col>
      <xdr:colOff>236220</xdr:colOff>
      <xdr:row>11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6C895CC-5656-B9C1-59B9-22798D87C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12">
      <a:dk1>
        <a:sysClr val="windowText" lastClr="000000"/>
      </a:dk1>
      <a:lt1>
        <a:sysClr val="window" lastClr="FFFFFF"/>
      </a:lt1>
      <a:dk2>
        <a:srgbClr val="1B3A1C"/>
      </a:dk2>
      <a:lt2>
        <a:srgbClr val="DFEFD4"/>
      </a:lt2>
      <a:accent1>
        <a:srgbClr val="03542D"/>
      </a:accent1>
      <a:accent2>
        <a:srgbClr val="B4EAC9"/>
      </a:accent2>
      <a:accent3>
        <a:srgbClr val="656D3A"/>
      </a:accent3>
      <a:accent4>
        <a:srgbClr val="E1E11F"/>
      </a:accent4>
      <a:accent5>
        <a:srgbClr val="C47521"/>
      </a:accent5>
      <a:accent6>
        <a:srgbClr val="CABDFF"/>
      </a:accent6>
      <a:hlink>
        <a:srgbClr val="0563C1"/>
      </a:hlink>
      <a:folHlink>
        <a:srgbClr val="954F72"/>
      </a:folHlink>
    </a:clrScheme>
    <a:fontScheme name="Egendefinert 27">
      <a:majorFont>
        <a:latin typeface="Norad Serif"/>
        <a:ea typeface=""/>
        <a:cs typeface=""/>
      </a:majorFont>
      <a:minorFont>
        <a:latin typeface="Norad 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1FCC-4E0C-48F6-A1D0-04B055751A8C}">
  <dimension ref="A1:S39"/>
  <sheetViews>
    <sheetView workbookViewId="0">
      <selection activeCell="E27" sqref="E27"/>
    </sheetView>
  </sheetViews>
  <sheetFormatPr defaultRowHeight="15.75"/>
  <cols>
    <col min="1" max="1" width="32.85546875" bestFit="1" customWidth="1"/>
    <col min="2" max="3" width="10" bestFit="1" customWidth="1"/>
    <col min="4" max="4" width="10.140625" bestFit="1" customWidth="1"/>
    <col min="5" max="5" width="29.42578125" bestFit="1" customWidth="1"/>
    <col min="6" max="6" width="10" bestFit="1" customWidth="1"/>
    <col min="7" max="7" width="9.85546875" bestFit="1" customWidth="1"/>
    <col min="8" max="9" width="10" bestFit="1" customWidth="1"/>
    <col min="10" max="10" width="10.85546875" bestFit="1" customWidth="1"/>
    <col min="11" max="11" width="10.570312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t="s">
        <v>19</v>
      </c>
      <c r="E2" t="s">
        <v>20</v>
      </c>
      <c r="N2" t="s">
        <v>21</v>
      </c>
    </row>
    <row r="3" spans="1:19">
      <c r="A3" s="1" t="s">
        <v>22</v>
      </c>
      <c r="E3" t="s">
        <v>23</v>
      </c>
    </row>
    <row r="4" spans="1:19">
      <c r="A4" s="1" t="s">
        <v>24</v>
      </c>
      <c r="B4" s="2">
        <v>49</v>
      </c>
      <c r="C4" s="2">
        <v>54</v>
      </c>
      <c r="D4" s="2">
        <v>56</v>
      </c>
      <c r="E4" s="2" t="s">
        <v>25</v>
      </c>
      <c r="F4" s="2">
        <v>62</v>
      </c>
      <c r="G4" s="2">
        <v>62</v>
      </c>
      <c r="H4" s="2">
        <v>66</v>
      </c>
      <c r="I4" s="2">
        <v>67</v>
      </c>
      <c r="J4" s="2">
        <v>67</v>
      </c>
      <c r="K4" s="2">
        <v>67</v>
      </c>
      <c r="L4" s="2">
        <v>69</v>
      </c>
      <c r="M4" s="2">
        <v>69</v>
      </c>
      <c r="N4" s="2" t="s">
        <v>26</v>
      </c>
      <c r="O4" s="2">
        <v>69</v>
      </c>
      <c r="P4" s="2">
        <v>66</v>
      </c>
      <c r="Q4" s="2">
        <v>63</v>
      </c>
      <c r="R4" s="2">
        <v>62</v>
      </c>
      <c r="S4" s="2">
        <v>60</v>
      </c>
    </row>
    <row r="5" spans="1:19">
      <c r="A5" t="s">
        <v>27</v>
      </c>
      <c r="B5">
        <v>17</v>
      </c>
      <c r="C5">
        <v>27</v>
      </c>
      <c r="D5">
        <v>32</v>
      </c>
      <c r="E5" t="s">
        <v>28</v>
      </c>
      <c r="F5">
        <v>43</v>
      </c>
      <c r="G5">
        <v>47</v>
      </c>
      <c r="H5">
        <v>56</v>
      </c>
      <c r="I5">
        <v>55</v>
      </c>
      <c r="J5">
        <v>55</v>
      </c>
      <c r="K5">
        <v>56</v>
      </c>
      <c r="L5">
        <v>63</v>
      </c>
      <c r="M5">
        <v>62</v>
      </c>
      <c r="N5" t="s">
        <v>29</v>
      </c>
      <c r="O5">
        <v>60</v>
      </c>
      <c r="P5">
        <v>58</v>
      </c>
      <c r="Q5">
        <v>54</v>
      </c>
      <c r="R5">
        <v>51</v>
      </c>
    </row>
    <row r="6" spans="1:19">
      <c r="A6" t="s">
        <v>30</v>
      </c>
      <c r="B6">
        <v>32</v>
      </c>
      <c r="C6">
        <v>27</v>
      </c>
      <c r="D6">
        <v>24</v>
      </c>
      <c r="E6" t="s">
        <v>31</v>
      </c>
      <c r="F6">
        <v>20</v>
      </c>
      <c r="G6">
        <v>15</v>
      </c>
      <c r="H6">
        <v>10</v>
      </c>
      <c r="I6">
        <v>12</v>
      </c>
      <c r="J6">
        <v>12</v>
      </c>
      <c r="K6">
        <v>11</v>
      </c>
      <c r="L6">
        <v>6</v>
      </c>
      <c r="M6">
        <v>7</v>
      </c>
      <c r="N6" t="s">
        <v>32</v>
      </c>
      <c r="O6">
        <v>9</v>
      </c>
      <c r="P6">
        <v>8</v>
      </c>
      <c r="Q6">
        <v>9</v>
      </c>
      <c r="R6">
        <v>11</v>
      </c>
    </row>
    <row r="7" spans="1:19">
      <c r="A7" t="s">
        <v>33</v>
      </c>
      <c r="B7">
        <v>35</v>
      </c>
      <c r="C7">
        <v>50</v>
      </c>
      <c r="D7">
        <v>57</v>
      </c>
      <c r="E7" t="s">
        <v>34</v>
      </c>
      <c r="F7">
        <v>69</v>
      </c>
      <c r="G7">
        <v>76</v>
      </c>
      <c r="H7">
        <v>85</v>
      </c>
      <c r="I7">
        <v>82</v>
      </c>
      <c r="J7">
        <v>82</v>
      </c>
      <c r="K7">
        <v>84</v>
      </c>
      <c r="L7">
        <v>91</v>
      </c>
      <c r="M7">
        <v>90</v>
      </c>
      <c r="N7" t="s">
        <v>35</v>
      </c>
      <c r="O7">
        <v>87</v>
      </c>
      <c r="P7">
        <v>88</v>
      </c>
      <c r="Q7">
        <v>86</v>
      </c>
      <c r="R7">
        <v>82</v>
      </c>
      <c r="S7">
        <v>78</v>
      </c>
    </row>
    <row r="8" spans="1:19">
      <c r="A8" s="4" t="s">
        <v>36</v>
      </c>
      <c r="E8" t="s">
        <v>23</v>
      </c>
      <c r="N8" t="s">
        <v>23</v>
      </c>
    </row>
    <row r="9" spans="1:19" s="4" customFormat="1">
      <c r="A9" s="4" t="s">
        <v>24</v>
      </c>
      <c r="B9" s="7">
        <v>42</v>
      </c>
      <c r="C9" s="7">
        <v>49</v>
      </c>
      <c r="D9" s="7">
        <v>55</v>
      </c>
      <c r="E9" s="7" t="s">
        <v>34</v>
      </c>
      <c r="F9" s="7">
        <v>72</v>
      </c>
      <c r="G9" s="7">
        <v>72</v>
      </c>
      <c r="H9" s="7">
        <v>88</v>
      </c>
      <c r="I9" s="7">
        <v>88</v>
      </c>
      <c r="J9" s="7">
        <v>90</v>
      </c>
      <c r="K9" s="7">
        <v>95</v>
      </c>
      <c r="L9" s="7">
        <v>100</v>
      </c>
      <c r="M9" s="7">
        <v>97</v>
      </c>
      <c r="N9" s="7" t="s">
        <v>37</v>
      </c>
      <c r="O9" s="7">
        <v>94</v>
      </c>
      <c r="P9" s="7"/>
      <c r="Q9" s="7">
        <v>78</v>
      </c>
      <c r="R9" s="7">
        <v>76</v>
      </c>
      <c r="S9" s="7">
        <v>71</v>
      </c>
    </row>
    <row r="10" spans="1:19" s="4" customFormat="1">
      <c r="A10" s="4" t="s">
        <v>27</v>
      </c>
      <c r="B10" s="7">
        <v>7</v>
      </c>
      <c r="C10" s="7">
        <v>14</v>
      </c>
      <c r="D10" s="7">
        <v>18</v>
      </c>
      <c r="E10" s="7" t="s">
        <v>38</v>
      </c>
      <c r="F10" s="7">
        <v>34</v>
      </c>
      <c r="G10" s="7">
        <v>37</v>
      </c>
      <c r="H10" s="7">
        <v>60</v>
      </c>
      <c r="I10" s="7">
        <v>59</v>
      </c>
      <c r="J10" s="7">
        <v>63</v>
      </c>
      <c r="K10" s="7">
        <v>67</v>
      </c>
      <c r="L10" s="7">
        <v>81</v>
      </c>
      <c r="M10" s="7">
        <v>75</v>
      </c>
      <c r="N10" s="7" t="s">
        <v>39</v>
      </c>
      <c r="O10" s="7">
        <v>70</v>
      </c>
      <c r="P10" s="7"/>
      <c r="Q10" s="7">
        <v>55</v>
      </c>
      <c r="R10" s="7">
        <v>45</v>
      </c>
      <c r="S10" s="7">
        <v>39</v>
      </c>
    </row>
    <row r="11" spans="1:19" s="4" customFormat="1">
      <c r="A11" s="4" t="s">
        <v>40</v>
      </c>
      <c r="B11" s="7">
        <v>35</v>
      </c>
      <c r="C11" s="7">
        <v>35</v>
      </c>
      <c r="D11" s="7">
        <v>37</v>
      </c>
      <c r="E11" s="7" t="s">
        <v>41</v>
      </c>
      <c r="F11" s="7">
        <v>38</v>
      </c>
      <c r="G11" s="7">
        <v>35</v>
      </c>
      <c r="H11" s="7">
        <v>28</v>
      </c>
      <c r="I11" s="7">
        <v>29</v>
      </c>
      <c r="J11" s="7">
        <v>27</v>
      </c>
      <c r="K11" s="7">
        <v>27</v>
      </c>
      <c r="L11" s="7">
        <v>19</v>
      </c>
      <c r="M11" s="7">
        <v>22</v>
      </c>
      <c r="N11" s="7" t="s">
        <v>31</v>
      </c>
      <c r="O11" s="7">
        <v>24</v>
      </c>
      <c r="P11" s="7"/>
      <c r="Q11" s="7">
        <v>23</v>
      </c>
      <c r="R11" s="7">
        <v>31</v>
      </c>
      <c r="S11" s="7">
        <v>32</v>
      </c>
    </row>
    <row r="12" spans="1:19">
      <c r="A12" t="s">
        <v>33</v>
      </c>
      <c r="B12">
        <v>17</v>
      </c>
      <c r="C12">
        <v>29</v>
      </c>
      <c r="D12">
        <v>33</v>
      </c>
      <c r="E12" t="s">
        <v>42</v>
      </c>
      <c r="F12">
        <v>47</v>
      </c>
      <c r="G12">
        <v>51</v>
      </c>
      <c r="H12">
        <v>68</v>
      </c>
      <c r="I12">
        <v>67</v>
      </c>
      <c r="J12">
        <v>70</v>
      </c>
      <c r="K12">
        <v>71</v>
      </c>
    </row>
    <row r="13" spans="1:19">
      <c r="A13" t="s">
        <v>43</v>
      </c>
      <c r="E13" t="s">
        <v>23</v>
      </c>
    </row>
    <row r="14" spans="1:19">
      <c r="A14" t="s">
        <v>44</v>
      </c>
      <c r="B14">
        <v>33</v>
      </c>
      <c r="C14">
        <v>33</v>
      </c>
      <c r="D14">
        <v>33</v>
      </c>
      <c r="E14" t="s">
        <v>45</v>
      </c>
      <c r="F14">
        <v>33</v>
      </c>
      <c r="G14">
        <v>33</v>
      </c>
      <c r="H14">
        <v>33</v>
      </c>
      <c r="I14">
        <v>33</v>
      </c>
      <c r="J14">
        <v>33</v>
      </c>
      <c r="K14">
        <v>33</v>
      </c>
    </row>
    <row r="15" spans="1:19">
      <c r="A15" t="s">
        <v>46</v>
      </c>
      <c r="B15">
        <v>47</v>
      </c>
      <c r="C15">
        <v>32</v>
      </c>
      <c r="D15">
        <v>66</v>
      </c>
      <c r="E15" t="s">
        <v>47</v>
      </c>
      <c r="F15">
        <v>65</v>
      </c>
      <c r="G15">
        <v>56</v>
      </c>
      <c r="H15">
        <v>140</v>
      </c>
      <c r="I15">
        <v>147</v>
      </c>
      <c r="J15">
        <v>150</v>
      </c>
      <c r="K15">
        <v>167</v>
      </c>
    </row>
    <row r="16" spans="1:19">
      <c r="A16" t="s">
        <v>19</v>
      </c>
      <c r="B16">
        <v>1</v>
      </c>
      <c r="C16">
        <v>1</v>
      </c>
      <c r="D16">
        <v>1</v>
      </c>
      <c r="E16" t="s">
        <v>48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9" spans="1:6">
      <c r="B19" s="11" t="s">
        <v>49</v>
      </c>
    </row>
    <row r="20" spans="1:6">
      <c r="B20" s="1" t="s">
        <v>22</v>
      </c>
    </row>
    <row r="21" spans="1:6">
      <c r="A21" t="s">
        <v>50</v>
      </c>
      <c r="B21" s="1" t="s">
        <v>24</v>
      </c>
      <c r="C21" t="s">
        <v>50</v>
      </c>
      <c r="D21" s="5" t="s">
        <v>24</v>
      </c>
      <c r="E21" s="5" t="s">
        <v>27</v>
      </c>
      <c r="F21" s="5" t="s">
        <v>40</v>
      </c>
    </row>
    <row r="22" spans="1:6">
      <c r="A22" t="s">
        <v>1</v>
      </c>
      <c r="B22" s="2">
        <v>49</v>
      </c>
      <c r="C22" t="s">
        <v>1</v>
      </c>
      <c r="D22" s="6">
        <v>42</v>
      </c>
      <c r="E22" s="6">
        <v>7</v>
      </c>
      <c r="F22" s="6">
        <v>35</v>
      </c>
    </row>
    <row r="23" spans="1:6">
      <c r="A23" t="s">
        <v>2</v>
      </c>
      <c r="B23" s="2">
        <v>54</v>
      </c>
      <c r="C23" t="s">
        <v>2</v>
      </c>
      <c r="D23" s="6">
        <v>49</v>
      </c>
      <c r="E23" s="6">
        <v>14</v>
      </c>
      <c r="F23" s="6">
        <v>35</v>
      </c>
    </row>
    <row r="24" spans="1:6">
      <c r="A24" t="s">
        <v>3</v>
      </c>
      <c r="B24" s="2">
        <v>56</v>
      </c>
      <c r="C24" t="s">
        <v>3</v>
      </c>
      <c r="D24" s="6">
        <v>55</v>
      </c>
      <c r="E24" s="6">
        <v>18</v>
      </c>
      <c r="F24" s="6">
        <v>37</v>
      </c>
    </row>
    <row r="25" spans="1:6">
      <c r="A25" t="s">
        <v>4</v>
      </c>
      <c r="B25" s="3">
        <v>59</v>
      </c>
      <c r="C25" t="s">
        <v>4</v>
      </c>
      <c r="D25" s="6">
        <v>61</v>
      </c>
      <c r="E25" s="6">
        <v>24</v>
      </c>
      <c r="F25" s="6">
        <v>37</v>
      </c>
    </row>
    <row r="26" spans="1:6">
      <c r="A26" t="s">
        <v>5</v>
      </c>
      <c r="B26" s="2">
        <v>62</v>
      </c>
      <c r="C26" t="s">
        <v>5</v>
      </c>
      <c r="D26" s="6">
        <v>72</v>
      </c>
      <c r="E26" s="6">
        <v>34</v>
      </c>
      <c r="F26" s="6">
        <v>38</v>
      </c>
    </row>
    <row r="27" spans="1:6">
      <c r="A27" t="s">
        <v>6</v>
      </c>
      <c r="B27" s="2">
        <v>62</v>
      </c>
      <c r="C27" t="s">
        <v>6</v>
      </c>
      <c r="D27" s="6">
        <v>72</v>
      </c>
      <c r="E27" s="6">
        <v>37</v>
      </c>
      <c r="F27" s="6">
        <v>35</v>
      </c>
    </row>
    <row r="28" spans="1:6">
      <c r="A28" t="s">
        <v>7</v>
      </c>
      <c r="B28" s="2">
        <v>66</v>
      </c>
      <c r="C28" t="s">
        <v>7</v>
      </c>
      <c r="D28" s="6">
        <v>88</v>
      </c>
      <c r="E28" s="6">
        <v>60</v>
      </c>
      <c r="F28" s="6">
        <v>28</v>
      </c>
    </row>
    <row r="29" spans="1:6">
      <c r="A29" t="s">
        <v>8</v>
      </c>
      <c r="B29" s="2">
        <v>67</v>
      </c>
      <c r="C29" t="s">
        <v>8</v>
      </c>
      <c r="D29" s="6">
        <v>88</v>
      </c>
      <c r="E29" s="6">
        <v>59</v>
      </c>
      <c r="F29" s="6">
        <v>29</v>
      </c>
    </row>
    <row r="30" spans="1:6">
      <c r="A30" t="s">
        <v>9</v>
      </c>
      <c r="B30" s="2">
        <v>67</v>
      </c>
      <c r="C30" t="s">
        <v>9</v>
      </c>
      <c r="D30" s="6">
        <v>90</v>
      </c>
      <c r="E30" s="6">
        <v>63</v>
      </c>
      <c r="F30" s="6">
        <v>27</v>
      </c>
    </row>
    <row r="31" spans="1:6">
      <c r="A31" t="s">
        <v>10</v>
      </c>
      <c r="B31" s="2">
        <v>67</v>
      </c>
      <c r="C31" t="s">
        <v>10</v>
      </c>
      <c r="D31" s="6">
        <v>95</v>
      </c>
      <c r="E31" s="6">
        <v>67</v>
      </c>
      <c r="F31" s="6">
        <v>27</v>
      </c>
    </row>
    <row r="32" spans="1:6">
      <c r="A32" t="s">
        <v>11</v>
      </c>
      <c r="B32" s="2">
        <v>69</v>
      </c>
      <c r="C32" t="s">
        <v>11</v>
      </c>
      <c r="D32" s="6">
        <v>100</v>
      </c>
      <c r="E32" s="6">
        <v>81</v>
      </c>
      <c r="F32" s="6">
        <v>19</v>
      </c>
    </row>
    <row r="33" spans="1:6">
      <c r="A33" t="s">
        <v>12</v>
      </c>
      <c r="B33" s="2">
        <v>69</v>
      </c>
      <c r="C33" t="s">
        <v>12</v>
      </c>
      <c r="D33" s="6">
        <v>97</v>
      </c>
      <c r="E33" s="6">
        <v>75</v>
      </c>
      <c r="F33" s="6">
        <v>22</v>
      </c>
    </row>
    <row r="34" spans="1:6">
      <c r="A34" t="s">
        <v>13</v>
      </c>
      <c r="B34" s="3">
        <v>68</v>
      </c>
      <c r="C34" t="s">
        <v>13</v>
      </c>
      <c r="D34" s="6">
        <v>93</v>
      </c>
      <c r="E34" s="6">
        <v>70</v>
      </c>
      <c r="F34" s="6">
        <v>23</v>
      </c>
    </row>
    <row r="35" spans="1:6">
      <c r="A35" t="s">
        <v>14</v>
      </c>
      <c r="B35" s="2">
        <v>69</v>
      </c>
      <c r="C35" t="s">
        <v>14</v>
      </c>
      <c r="D35" s="6">
        <v>94</v>
      </c>
      <c r="E35" s="6">
        <v>70</v>
      </c>
      <c r="F35" s="6">
        <v>24</v>
      </c>
    </row>
    <row r="36" spans="1:6">
      <c r="A36" t="s">
        <v>15</v>
      </c>
      <c r="B36" s="2">
        <v>66</v>
      </c>
      <c r="C36" t="s">
        <v>16</v>
      </c>
      <c r="D36" s="6">
        <v>78</v>
      </c>
      <c r="E36" s="6">
        <v>55</v>
      </c>
      <c r="F36" s="6">
        <v>23</v>
      </c>
    </row>
    <row r="37" spans="1:6">
      <c r="A37" t="s">
        <v>16</v>
      </c>
      <c r="B37" s="2">
        <v>63</v>
      </c>
      <c r="C37" t="s">
        <v>17</v>
      </c>
      <c r="D37" s="6">
        <v>76</v>
      </c>
      <c r="E37" s="6">
        <v>45</v>
      </c>
      <c r="F37" s="6">
        <v>31</v>
      </c>
    </row>
    <row r="38" spans="1:6">
      <c r="A38" t="s">
        <v>17</v>
      </c>
      <c r="B38" s="2">
        <v>62</v>
      </c>
      <c r="C38" t="s">
        <v>18</v>
      </c>
      <c r="D38" s="6">
        <v>71</v>
      </c>
      <c r="E38" s="6">
        <v>39</v>
      </c>
      <c r="F38" s="6">
        <v>32</v>
      </c>
    </row>
    <row r="39" spans="1:6">
      <c r="A39" t="s">
        <v>18</v>
      </c>
      <c r="B39" s="2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72305-76BE-49E8-9DDB-BB2667489510}">
  <dimension ref="A1:E49"/>
  <sheetViews>
    <sheetView tabSelected="1" zoomScale="90" zoomScaleNormal="90" workbookViewId="0">
      <selection activeCell="B4" sqref="B4"/>
    </sheetView>
  </sheetViews>
  <sheetFormatPr defaultRowHeight="15.75"/>
  <cols>
    <col min="1" max="1" width="11.140625" customWidth="1"/>
    <col min="2" max="2" width="24.42578125" customWidth="1"/>
    <col min="3" max="3" width="5.7109375" bestFit="1" customWidth="1"/>
    <col min="4" max="4" width="38.140625" bestFit="1" customWidth="1"/>
  </cols>
  <sheetData>
    <row r="1" spans="1:5">
      <c r="A1" t="s">
        <v>51</v>
      </c>
    </row>
    <row r="2" spans="1:5">
      <c r="A2" t="s">
        <v>52</v>
      </c>
    </row>
    <row r="3" spans="1:5" ht="18">
      <c r="A3" s="9" t="s">
        <v>50</v>
      </c>
      <c r="B3" s="9" t="s">
        <v>53</v>
      </c>
      <c r="D3" s="9" t="s">
        <v>54</v>
      </c>
      <c r="E3" s="9"/>
    </row>
    <row r="4" spans="1:5">
      <c r="A4">
        <v>1977</v>
      </c>
      <c r="B4" s="8">
        <v>6.114001676047593</v>
      </c>
      <c r="C4" s="10">
        <v>-1.8280534388473907E-2</v>
      </c>
      <c r="D4">
        <f t="shared" ref="D4:D19" si="0">C4*100</f>
        <v>-1.8280534388473906</v>
      </c>
    </row>
    <row r="5" spans="1:5">
      <c r="A5">
        <v>1978</v>
      </c>
      <c r="B5" s="8">
        <v>9.8461568480197457</v>
      </c>
      <c r="C5" s="10">
        <v>-1.7837235228539513E-4</v>
      </c>
      <c r="D5">
        <f t="shared" si="0"/>
        <v>-1.7837235228539514E-2</v>
      </c>
    </row>
    <row r="6" spans="1:5">
      <c r="A6">
        <v>1979</v>
      </c>
      <c r="B6" s="8">
        <v>6.1656637093229421</v>
      </c>
      <c r="C6" s="10">
        <v>-2.4778357591331862E-4</v>
      </c>
      <c r="D6">
        <f t="shared" si="0"/>
        <v>-2.4778357591331863E-2</v>
      </c>
    </row>
    <row r="7" spans="1:5">
      <c r="A7">
        <v>1980</v>
      </c>
      <c r="B7" s="8">
        <v>6.4901126551427666</v>
      </c>
      <c r="C7" s="10">
        <v>-4.2269077513876468E-3</v>
      </c>
      <c r="D7">
        <f t="shared" si="0"/>
        <v>-0.42269077513876468</v>
      </c>
    </row>
    <row r="8" spans="1:5">
      <c r="A8">
        <v>1981</v>
      </c>
      <c r="B8" s="8">
        <v>3.7749036646334417</v>
      </c>
      <c r="C8" s="10">
        <v>7.261322042330598E-3</v>
      </c>
      <c r="D8">
        <f t="shared" si="0"/>
        <v>0.7261322042330598</v>
      </c>
    </row>
    <row r="9" spans="1:5">
      <c r="A9">
        <v>1982</v>
      </c>
      <c r="B9" s="8">
        <v>7.423410231937396</v>
      </c>
      <c r="C9" s="10">
        <v>-6.1466412995754803E-3</v>
      </c>
      <c r="D9">
        <f t="shared" si="0"/>
        <v>-0.61466412995754804</v>
      </c>
    </row>
    <row r="10" spans="1:5">
      <c r="A10">
        <v>1983</v>
      </c>
      <c r="B10" s="8">
        <v>9.1811370495775293</v>
      </c>
      <c r="C10" s="10">
        <v>6.2991868322459432E-3</v>
      </c>
      <c r="D10">
        <f t="shared" si="0"/>
        <v>0.62991868322459432</v>
      </c>
    </row>
    <row r="11" spans="1:5">
      <c r="A11">
        <v>1984</v>
      </c>
      <c r="B11" s="8">
        <v>13.690019840921863</v>
      </c>
      <c r="C11" s="10">
        <v>1.6421696149838102E-3</v>
      </c>
      <c r="D11">
        <f t="shared" si="0"/>
        <v>0.16421696149838103</v>
      </c>
    </row>
    <row r="12" spans="1:5">
      <c r="A12">
        <v>1985</v>
      </c>
      <c r="B12" s="8">
        <v>11.896561710396725</v>
      </c>
      <c r="C12" s="10">
        <v>5.3397698521081925E-3</v>
      </c>
      <c r="D12">
        <f t="shared" si="0"/>
        <v>0.53397698521081927</v>
      </c>
    </row>
    <row r="13" spans="1:5">
      <c r="A13">
        <v>1986</v>
      </c>
      <c r="B13" s="8">
        <v>7.341433471286777</v>
      </c>
      <c r="C13" s="10">
        <v>1.3699810667885694E-2</v>
      </c>
      <c r="D13">
        <f t="shared" si="0"/>
        <v>1.3699810667885695</v>
      </c>
    </row>
    <row r="14" spans="1:5">
      <c r="A14">
        <v>1987</v>
      </c>
      <c r="B14" s="8">
        <v>9.8811637958546186</v>
      </c>
      <c r="C14" s="10">
        <v>-8.5915743319309509E-3</v>
      </c>
      <c r="D14">
        <f t="shared" si="0"/>
        <v>-0.85915743319309512</v>
      </c>
    </row>
    <row r="15" spans="1:5">
      <c r="A15">
        <v>1988</v>
      </c>
      <c r="B15" s="8">
        <v>9.4461713568776844</v>
      </c>
      <c r="C15" s="10">
        <v>-2.2586894157511771E-2</v>
      </c>
      <c r="D15">
        <f t="shared" si="0"/>
        <v>-2.258689415751177</v>
      </c>
    </row>
    <row r="16" spans="1:5">
      <c r="A16">
        <v>1989</v>
      </c>
      <c r="B16" s="8">
        <v>2.6208591749210086</v>
      </c>
      <c r="C16" s="10">
        <v>1.4189889154909445E-2</v>
      </c>
      <c r="D16">
        <f t="shared" si="0"/>
        <v>1.4189889154909445</v>
      </c>
    </row>
    <row r="17" spans="1:4">
      <c r="A17">
        <v>1990</v>
      </c>
      <c r="B17" s="8">
        <v>2.4065585719958307</v>
      </c>
      <c r="C17" s="10">
        <v>-4.3116493553010723E-3</v>
      </c>
      <c r="D17">
        <f t="shared" si="0"/>
        <v>-0.43116493553010721</v>
      </c>
    </row>
    <row r="18" spans="1:4">
      <c r="A18">
        <v>1991</v>
      </c>
      <c r="B18" s="8">
        <v>7.7820919905075669</v>
      </c>
      <c r="C18" s="10">
        <v>1.3243312114767205E-2</v>
      </c>
      <c r="D18">
        <f t="shared" si="0"/>
        <v>1.3243312114767205</v>
      </c>
    </row>
    <row r="19" spans="1:4">
      <c r="A19">
        <v>1992</v>
      </c>
      <c r="B19" s="8">
        <v>12.833209580712321</v>
      </c>
      <c r="C19" s="10">
        <v>2.8101878201478503E-3</v>
      </c>
      <c r="D19">
        <f t="shared" si="0"/>
        <v>0.28101878201478503</v>
      </c>
    </row>
    <row r="20" spans="1:4">
      <c r="A20">
        <v>1993</v>
      </c>
      <c r="B20" s="8">
        <v>12.581996643928477</v>
      </c>
      <c r="C20" s="10">
        <v>1.9337609581928164E-2</v>
      </c>
      <c r="D20">
        <f t="shared" ref="D20:D49" si="1">C20*100</f>
        <v>1.9337609581928163</v>
      </c>
    </row>
    <row r="21" spans="1:4">
      <c r="A21">
        <v>1994</v>
      </c>
      <c r="B21" s="8">
        <v>11.766389145624629</v>
      </c>
      <c r="C21" s="10">
        <v>4.1737013238045415E-3</v>
      </c>
      <c r="D21">
        <f t="shared" si="1"/>
        <v>0.41737013238045417</v>
      </c>
    </row>
    <row r="22" spans="1:4">
      <c r="A22">
        <v>1995</v>
      </c>
      <c r="B22" s="8">
        <v>9.7549548902020149</v>
      </c>
      <c r="C22" s="10">
        <v>2.0389015192518521E-3</v>
      </c>
      <c r="D22">
        <f t="shared" si="1"/>
        <v>0.2038901519251852</v>
      </c>
    </row>
    <row r="23" spans="1:4">
      <c r="A23">
        <v>1996</v>
      </c>
      <c r="B23" s="8">
        <v>8.7764298105264231</v>
      </c>
      <c r="C23" s="10">
        <v>-4.3516100956864289E-5</v>
      </c>
      <c r="D23">
        <f t="shared" si="1"/>
        <v>-4.3516100956864289E-3</v>
      </c>
    </row>
    <row r="24" spans="1:4">
      <c r="A24">
        <v>1997</v>
      </c>
      <c r="B24" s="8">
        <v>8.1244975770177632</v>
      </c>
      <c r="C24" s="10">
        <v>-2.2909995671272637E-3</v>
      </c>
      <c r="D24">
        <f t="shared" si="1"/>
        <v>-0.22909995671272637</v>
      </c>
    </row>
    <row r="25" spans="1:4">
      <c r="A25">
        <v>1998</v>
      </c>
      <c r="B25" s="8">
        <v>6.8160645646963047</v>
      </c>
      <c r="C25" s="10">
        <v>3.1089275360624165E-4</v>
      </c>
      <c r="D25">
        <f t="shared" si="1"/>
        <v>3.1089275360624165E-2</v>
      </c>
    </row>
    <row r="26" spans="1:4">
      <c r="A26">
        <v>1999</v>
      </c>
      <c r="B26" s="8">
        <v>6.7334856584344607</v>
      </c>
      <c r="C26" s="10">
        <v>-2.5665125129174619E-3</v>
      </c>
      <c r="D26">
        <f t="shared" si="1"/>
        <v>-0.25665125129174621</v>
      </c>
    </row>
    <row r="27" spans="1:4">
      <c r="A27">
        <v>2000</v>
      </c>
      <c r="B27" s="8">
        <v>7.6385976760329442</v>
      </c>
      <c r="C27" s="10">
        <v>6.7291627060254823E-3</v>
      </c>
      <c r="D27">
        <f t="shared" si="1"/>
        <v>0.67291627060254822</v>
      </c>
    </row>
    <row r="28" spans="1:4">
      <c r="A28">
        <v>2001</v>
      </c>
      <c r="B28" s="8">
        <v>7.5516548315526393</v>
      </c>
      <c r="C28" s="10">
        <v>1.8021994499526094E-3</v>
      </c>
      <c r="D28">
        <f t="shared" si="1"/>
        <v>0.18021994499526095</v>
      </c>
    </row>
    <row r="29" spans="1:4">
      <c r="A29">
        <v>2002</v>
      </c>
      <c r="B29" s="8">
        <v>8.4048799751456471</v>
      </c>
      <c r="C29" s="10">
        <v>6.1454361379556146E-3</v>
      </c>
      <c r="D29">
        <f t="shared" si="1"/>
        <v>0.61454361379556144</v>
      </c>
    </row>
    <row r="30" spans="1:4">
      <c r="A30">
        <v>2003</v>
      </c>
      <c r="B30" s="8">
        <v>9.3547766439077407</v>
      </c>
      <c r="C30" s="10">
        <v>-5.9350772166191848E-3</v>
      </c>
      <c r="D30">
        <f t="shared" si="1"/>
        <v>-0.59350772166191845</v>
      </c>
    </row>
    <row r="31" spans="1:4">
      <c r="A31">
        <v>2004</v>
      </c>
      <c r="B31" s="8">
        <v>9.4615587704990958</v>
      </c>
      <c r="C31" s="10">
        <v>7.4051705896454488E-3</v>
      </c>
      <c r="D31">
        <f t="shared" si="1"/>
        <v>0.74051705896454489</v>
      </c>
    </row>
    <row r="32" spans="1:4">
      <c r="A32">
        <v>2005</v>
      </c>
      <c r="B32" s="8">
        <v>10.741375126402914</v>
      </c>
      <c r="C32" s="10">
        <v>-1.6262718563785378E-3</v>
      </c>
      <c r="D32">
        <f t="shared" si="1"/>
        <v>-0.16262718563785378</v>
      </c>
    </row>
    <row r="33" spans="1:4">
      <c r="A33">
        <v>2006</v>
      </c>
      <c r="B33" s="8">
        <v>12.093304693902439</v>
      </c>
      <c r="C33" s="10">
        <v>-1.0821096633889353E-2</v>
      </c>
      <c r="D33">
        <f t="shared" si="1"/>
        <v>-1.0821096633889353</v>
      </c>
    </row>
    <row r="34" spans="1:4">
      <c r="A34">
        <v>2007</v>
      </c>
      <c r="B34" s="8">
        <v>13.635820500640762</v>
      </c>
      <c r="C34" s="10">
        <v>-4.6723172485536313E-3</v>
      </c>
      <c r="D34">
        <f t="shared" si="1"/>
        <v>-0.46723172485536313</v>
      </c>
    </row>
    <row r="35" spans="1:4">
      <c r="A35">
        <v>2008</v>
      </c>
      <c r="B35" s="8">
        <v>9.0902801015361803</v>
      </c>
      <c r="C35" s="10">
        <v>6.9942539737774642E-4</v>
      </c>
      <c r="D35">
        <f t="shared" si="1"/>
        <v>6.9942539737774645E-2</v>
      </c>
    </row>
    <row r="36" spans="1:4">
      <c r="A36">
        <v>2009</v>
      </c>
      <c r="B36" s="8">
        <v>8.8559476755555124</v>
      </c>
      <c r="C36" s="10">
        <v>1.4162320679300829E-3</v>
      </c>
      <c r="D36">
        <f t="shared" si="1"/>
        <v>0.1416232067930083</v>
      </c>
    </row>
    <row r="37" spans="1:4">
      <c r="A37">
        <v>2010</v>
      </c>
      <c r="B37" s="8">
        <v>10.102832622713947</v>
      </c>
      <c r="C37" s="10">
        <v>-3.447999377955294E-3</v>
      </c>
      <c r="D37">
        <f t="shared" si="1"/>
        <v>-0.34479993779552942</v>
      </c>
    </row>
    <row r="38" spans="1:4">
      <c r="A38">
        <v>2011</v>
      </c>
      <c r="B38" s="8">
        <v>8.9538160418316295</v>
      </c>
      <c r="C38" s="10">
        <v>-1.3586489361595733E-3</v>
      </c>
      <c r="D38">
        <f t="shared" si="1"/>
        <v>-0.13586489361595733</v>
      </c>
    </row>
    <row r="39" spans="1:4">
      <c r="A39">
        <v>2012</v>
      </c>
      <c r="B39" s="8">
        <v>7.1345237774802683</v>
      </c>
      <c r="C39" s="10">
        <v>-1.4012207522476374E-4</v>
      </c>
      <c r="D39">
        <f t="shared" si="1"/>
        <v>-1.4012207522476373E-2</v>
      </c>
    </row>
    <row r="40" spans="1:4">
      <c r="A40">
        <v>2013</v>
      </c>
      <c r="B40" s="8">
        <v>7.0507341338182101</v>
      </c>
      <c r="C40" s="10">
        <v>-1.20501699987559E-3</v>
      </c>
      <c r="D40">
        <f t="shared" si="1"/>
        <v>-0.120501699987559</v>
      </c>
    </row>
    <row r="41" spans="1:4">
      <c r="A41">
        <v>2014</v>
      </c>
      <c r="B41" s="8">
        <v>6.7507603159427276</v>
      </c>
      <c r="C41" s="10">
        <v>4.1219601418104818E-3</v>
      </c>
      <c r="D41">
        <f t="shared" si="1"/>
        <v>0.41219601418104818</v>
      </c>
    </row>
    <row r="42" spans="1:4">
      <c r="A42">
        <v>2015</v>
      </c>
      <c r="B42" s="8">
        <v>6.4207364772305624</v>
      </c>
      <c r="C42" s="10">
        <v>-4.0252487461750275E-3</v>
      </c>
      <c r="D42">
        <f t="shared" si="1"/>
        <v>-0.40252487461750275</v>
      </c>
    </row>
    <row r="43" spans="1:4">
      <c r="A43">
        <v>2016</v>
      </c>
      <c r="B43" s="8">
        <v>6.2382154477522533</v>
      </c>
      <c r="C43" s="10">
        <v>1.7809749965079251E-3</v>
      </c>
      <c r="D43">
        <f t="shared" si="1"/>
        <v>0.1780974996507925</v>
      </c>
    </row>
    <row r="44" spans="1:4">
      <c r="A44">
        <v>2017</v>
      </c>
      <c r="B44" s="8">
        <v>6.3018631005226098</v>
      </c>
      <c r="C44" s="10">
        <v>-1.2524867882864922E-2</v>
      </c>
      <c r="D44">
        <f t="shared" si="1"/>
        <v>-1.2524867882864923</v>
      </c>
    </row>
    <row r="45" spans="1:4">
      <c r="A45">
        <v>2018</v>
      </c>
      <c r="B45" s="8">
        <v>6.2517005556988323</v>
      </c>
      <c r="C45" s="10">
        <v>3.0339118524794835E-3</v>
      </c>
      <c r="D45">
        <f t="shared" si="1"/>
        <v>0.30339118524794834</v>
      </c>
    </row>
    <row r="46" spans="1:4">
      <c r="A46">
        <v>2019</v>
      </c>
      <c r="B46" s="8">
        <v>5.5753168630384948</v>
      </c>
      <c r="C46" s="10">
        <v>3.2465434942769578E-4</v>
      </c>
      <c r="D46">
        <f t="shared" si="1"/>
        <v>3.2465434942769579E-2</v>
      </c>
    </row>
    <row r="47" spans="1:4">
      <c r="A47">
        <v>2020</v>
      </c>
      <c r="B47" s="8">
        <v>1.9955580418692875</v>
      </c>
      <c r="C47" s="10">
        <v>1.6854317165074559E-2</v>
      </c>
      <c r="D47">
        <f t="shared" si="1"/>
        <v>1.6854317165074559</v>
      </c>
    </row>
    <row r="48" spans="1:4">
      <c r="A48">
        <v>2021</v>
      </c>
      <c r="B48" s="8">
        <v>8.3507297147041157</v>
      </c>
      <c r="C48" s="10">
        <v>-7.430262756923745E-3</v>
      </c>
      <c r="D48">
        <f t="shared" si="1"/>
        <v>-0.74302627569237445</v>
      </c>
    </row>
    <row r="49" spans="1:4">
      <c r="A49">
        <v>2022</v>
      </c>
      <c r="B49" s="8">
        <v>3.0042967632348194</v>
      </c>
      <c r="C49" s="10">
        <v>-1.9000366017324622E-2</v>
      </c>
      <c r="D49">
        <f t="shared" si="1"/>
        <v>-1.9000366017324621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56451-9983-4C0C-AB91-F299FE4FEA5E}">
  <dimension ref="A1:D49"/>
  <sheetViews>
    <sheetView workbookViewId="0">
      <selection activeCell="E20" sqref="E20"/>
    </sheetView>
  </sheetViews>
  <sheetFormatPr defaultRowHeight="15.75"/>
  <cols>
    <col min="2" max="2" width="15.85546875" bestFit="1" customWidth="1"/>
    <col min="3" max="3" width="25.42578125" bestFit="1" customWidth="1"/>
  </cols>
  <sheetData>
    <row r="1" spans="1:4">
      <c r="A1" s="12" t="s">
        <v>55</v>
      </c>
      <c r="B1" s="12"/>
      <c r="C1" s="12"/>
      <c r="D1" s="12"/>
    </row>
    <row r="3" spans="1:4">
      <c r="B3" t="s">
        <v>56</v>
      </c>
      <c r="C3" t="s">
        <v>57</v>
      </c>
    </row>
    <row r="4" spans="1:4">
      <c r="A4">
        <v>1977</v>
      </c>
      <c r="B4">
        <v>43.970588235294116</v>
      </c>
      <c r="C4">
        <v>-1.8280534388473906</v>
      </c>
    </row>
    <row r="5" spans="1:4">
      <c r="A5">
        <v>1978</v>
      </c>
      <c r="B5">
        <v>43.962745098039214</v>
      </c>
      <c r="C5">
        <v>-1.7837235228539514E-2</v>
      </c>
    </row>
    <row r="6" spans="1:4">
      <c r="A6">
        <v>1979</v>
      </c>
      <c r="B6">
        <v>43.951851851851856</v>
      </c>
      <c r="C6">
        <v>-2.4778357591331863E-2</v>
      </c>
    </row>
    <row r="7" spans="1:4">
      <c r="A7">
        <v>1980</v>
      </c>
      <c r="B7">
        <v>43.766071428571422</v>
      </c>
      <c r="C7">
        <v>-0.42269077513876468</v>
      </c>
    </row>
    <row r="8" spans="1:4">
      <c r="A8">
        <v>1981</v>
      </c>
      <c r="B8">
        <v>44.083870967741923</v>
      </c>
      <c r="C8">
        <v>0.7261322042330598</v>
      </c>
    </row>
    <row r="9" spans="1:4">
      <c r="A9">
        <v>1982</v>
      </c>
      <c r="B9">
        <v>43.812903225806444</v>
      </c>
      <c r="C9">
        <v>-0.61466412995754804</v>
      </c>
    </row>
    <row r="10" spans="1:4">
      <c r="A10">
        <v>1983</v>
      </c>
      <c r="B10">
        <v>44.08888888888891</v>
      </c>
      <c r="C10">
        <v>0.62991868322459432</v>
      </c>
    </row>
    <row r="11" spans="1:4">
      <c r="A11">
        <v>1984</v>
      </c>
      <c r="B11">
        <v>44.161290322580641</v>
      </c>
      <c r="C11">
        <v>0.16421696149838103</v>
      </c>
    </row>
    <row r="12" spans="1:4">
      <c r="A12">
        <v>1985</v>
      </c>
      <c r="B12">
        <v>44.397101449275354</v>
      </c>
      <c r="C12">
        <v>0.53397698521081927</v>
      </c>
    </row>
    <row r="13" spans="1:4">
      <c r="A13">
        <v>1986</v>
      </c>
      <c r="B13">
        <v>45.00533333333334</v>
      </c>
      <c r="C13">
        <v>1.3699810667885695</v>
      </c>
    </row>
    <row r="14" spans="1:4">
      <c r="A14">
        <v>1987</v>
      </c>
      <c r="B14">
        <v>44.618666666666677</v>
      </c>
      <c r="C14">
        <v>-0.85915743319309512</v>
      </c>
    </row>
    <row r="15" spans="1:4">
      <c r="A15">
        <v>1988</v>
      </c>
      <c r="B15">
        <v>43.610869565217378</v>
      </c>
      <c r="C15">
        <v>-2.258689415751177</v>
      </c>
    </row>
    <row r="16" spans="1:4">
      <c r="A16">
        <v>1989</v>
      </c>
      <c r="B16">
        <v>44.229702970297026</v>
      </c>
      <c r="C16">
        <v>1.4189889154909445</v>
      </c>
    </row>
    <row r="17" spans="1:3">
      <c r="A17">
        <v>1990</v>
      </c>
      <c r="B17">
        <v>44.038999999999987</v>
      </c>
      <c r="C17">
        <v>-0.43116493553010721</v>
      </c>
    </row>
    <row r="18" spans="1:3">
      <c r="A18">
        <v>1991</v>
      </c>
      <c r="B18">
        <v>44.62222222222222</v>
      </c>
      <c r="C18">
        <v>1.3243312114767205</v>
      </c>
    </row>
    <row r="19" spans="1:3">
      <c r="A19">
        <v>1992</v>
      </c>
      <c r="B19">
        <v>44.74761904761904</v>
      </c>
      <c r="C19">
        <v>0.28101878201478503</v>
      </c>
    </row>
    <row r="20" spans="1:3">
      <c r="A20">
        <v>1993</v>
      </c>
      <c r="B20">
        <v>45.612931034482749</v>
      </c>
      <c r="C20">
        <v>1.9337609581928163</v>
      </c>
    </row>
    <row r="21" spans="1:3">
      <c r="A21">
        <v>1994</v>
      </c>
      <c r="B21">
        <v>45.803305785123975</v>
      </c>
      <c r="C21">
        <v>0.41737013238045417</v>
      </c>
    </row>
    <row r="22" spans="1:3">
      <c r="A22">
        <v>1995</v>
      </c>
      <c r="B22">
        <v>45.896694214876021</v>
      </c>
      <c r="C22">
        <v>0.2038901519251852</v>
      </c>
    </row>
    <row r="23" spans="1:3">
      <c r="A23">
        <v>1996</v>
      </c>
      <c r="B23">
        <v>45.89469696969698</v>
      </c>
      <c r="C23">
        <v>-4.3516100956864289E-3</v>
      </c>
    </row>
    <row r="24" spans="1:3">
      <c r="A24">
        <v>1997</v>
      </c>
      <c r="B24">
        <v>45.789552238805967</v>
      </c>
      <c r="C24">
        <v>-0.22909995671272637</v>
      </c>
    </row>
    <row r="25" spans="1:3">
      <c r="A25">
        <v>1998</v>
      </c>
      <c r="B25">
        <v>45.803787878787887</v>
      </c>
      <c r="C25">
        <v>3.1089275360624165E-2</v>
      </c>
    </row>
    <row r="26" spans="1:3">
      <c r="A26">
        <v>1999</v>
      </c>
      <c r="B26">
        <v>45.68623188405796</v>
      </c>
      <c r="C26">
        <v>-0.25665125129174621</v>
      </c>
    </row>
    <row r="27" spans="1:3">
      <c r="A27">
        <v>2000</v>
      </c>
      <c r="B27">
        <v>45.993661971830996</v>
      </c>
      <c r="C27">
        <v>0.67291627060254822</v>
      </c>
    </row>
    <row r="28" spans="1:3">
      <c r="A28">
        <v>2001</v>
      </c>
      <c r="B28">
        <v>46.076551724137936</v>
      </c>
      <c r="C28">
        <v>0.18021994499526095</v>
      </c>
    </row>
    <row r="29" spans="1:3">
      <c r="A29">
        <v>2002</v>
      </c>
      <c r="B29">
        <v>46.359712230215834</v>
      </c>
      <c r="C29">
        <v>0.61454361379556144</v>
      </c>
    </row>
    <row r="30" spans="1:3">
      <c r="A30">
        <v>2003</v>
      </c>
      <c r="B30">
        <v>46.084563758389258</v>
      </c>
      <c r="C30">
        <v>-0.59350772166191845</v>
      </c>
    </row>
    <row r="31" spans="1:3">
      <c r="A31">
        <v>2004</v>
      </c>
      <c r="B31">
        <v>46.425827814569523</v>
      </c>
      <c r="C31">
        <v>0.74051705896454489</v>
      </c>
    </row>
    <row r="32" spans="1:3">
      <c r="A32">
        <v>2005</v>
      </c>
      <c r="B32">
        <v>46.350326797385613</v>
      </c>
      <c r="C32">
        <v>-0.16262718563785378</v>
      </c>
    </row>
    <row r="33" spans="1:3">
      <c r="A33">
        <v>2006</v>
      </c>
      <c r="B33">
        <v>45.848765432098752</v>
      </c>
      <c r="C33">
        <v>-1.0821096633889353</v>
      </c>
    </row>
    <row r="34" spans="1:3">
      <c r="A34">
        <v>2007</v>
      </c>
      <c r="B34">
        <v>45.634545454545467</v>
      </c>
      <c r="C34">
        <v>-0.46723172485536313</v>
      </c>
    </row>
    <row r="35" spans="1:3">
      <c r="A35">
        <v>2008</v>
      </c>
      <c r="B35">
        <v>45.666463414634165</v>
      </c>
      <c r="C35">
        <v>6.9942539737774645E-2</v>
      </c>
    </row>
    <row r="36" spans="1:3">
      <c r="A36">
        <v>2009</v>
      </c>
      <c r="B36">
        <v>45.731137724550926</v>
      </c>
      <c r="C36">
        <v>0.1416232067930083</v>
      </c>
    </row>
    <row r="37" spans="1:3">
      <c r="A37">
        <v>2010</v>
      </c>
      <c r="B37">
        <v>45.573456790123487</v>
      </c>
      <c r="C37">
        <v>-0.34479993779552942</v>
      </c>
    </row>
    <row r="38" spans="1:3">
      <c r="A38">
        <v>2011</v>
      </c>
      <c r="B38">
        <v>45.511538461538471</v>
      </c>
      <c r="C38">
        <v>-0.13586489361595733</v>
      </c>
    </row>
    <row r="39" spans="1:3">
      <c r="A39">
        <v>2012</v>
      </c>
      <c r="B39">
        <v>45.505161290322569</v>
      </c>
      <c r="C39">
        <v>-1.4012207522476373E-2</v>
      </c>
    </row>
    <row r="40" spans="1:3">
      <c r="A40">
        <v>2013</v>
      </c>
      <c r="B40">
        <v>45.45032679738565</v>
      </c>
      <c r="C40">
        <v>-0.120501699987559</v>
      </c>
    </row>
    <row r="41" spans="1:3">
      <c r="A41">
        <v>2014</v>
      </c>
      <c r="B41">
        <v>45.637671232876734</v>
      </c>
      <c r="C41">
        <v>0.41219601418104818</v>
      </c>
    </row>
    <row r="42" spans="1:3">
      <c r="A42">
        <v>2015</v>
      </c>
      <c r="B42">
        <v>45.453968253968249</v>
      </c>
      <c r="C42">
        <v>-0.40252487461750275</v>
      </c>
    </row>
    <row r="43" spans="1:3">
      <c r="A43">
        <v>2016</v>
      </c>
      <c r="B43">
        <v>45.534920634920631</v>
      </c>
      <c r="C43">
        <v>0.1780974996507925</v>
      </c>
    </row>
    <row r="44" spans="1:3">
      <c r="A44">
        <v>2017</v>
      </c>
      <c r="B44">
        <v>44.964601769911511</v>
      </c>
      <c r="C44">
        <v>-1.2524867882864923</v>
      </c>
    </row>
    <row r="45" spans="1:3">
      <c r="A45">
        <v>2018</v>
      </c>
      <c r="B45">
        <v>45.101020408163265</v>
      </c>
      <c r="C45">
        <v>0.30339118524794834</v>
      </c>
    </row>
    <row r="46" spans="1:3">
      <c r="A46">
        <v>2019</v>
      </c>
      <c r="B46">
        <v>45.115662650602403</v>
      </c>
      <c r="C46">
        <v>3.2465434942769579E-2</v>
      </c>
    </row>
    <row r="47" spans="1:3">
      <c r="A47">
        <v>2020</v>
      </c>
      <c r="B47">
        <v>45.876056338028164</v>
      </c>
      <c r="C47">
        <v>1.6854317165074559</v>
      </c>
    </row>
    <row r="48" spans="1:3">
      <c r="A48">
        <v>2021</v>
      </c>
      <c r="B48">
        <v>45.535185185185178</v>
      </c>
      <c r="C48">
        <v>-0.74302627569237445</v>
      </c>
    </row>
    <row r="49" spans="1:3">
      <c r="A49">
        <v>2022</v>
      </c>
      <c r="B49">
        <v>44.67</v>
      </c>
      <c r="C49">
        <v>-1.9000366017324621</v>
      </c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B6E94-EE4A-4B94-BFB3-E61ADAB05BDA}">
  <dimension ref="A1:I64"/>
  <sheetViews>
    <sheetView workbookViewId="0">
      <selection activeCell="N13" sqref="N13"/>
    </sheetView>
  </sheetViews>
  <sheetFormatPr defaultRowHeight="15.75"/>
  <cols>
    <col min="2" max="2" width="17.28515625" bestFit="1" customWidth="1"/>
  </cols>
  <sheetData>
    <row r="1" spans="1:9" s="9" customFormat="1" ht="18">
      <c r="B1" s="9" t="s">
        <v>58</v>
      </c>
      <c r="C1" s="9" t="s">
        <v>59</v>
      </c>
      <c r="H1" s="9" t="s">
        <v>60</v>
      </c>
      <c r="I1" s="9" t="s">
        <v>61</v>
      </c>
    </row>
    <row r="2" spans="1:9">
      <c r="A2">
        <v>1960</v>
      </c>
      <c r="B2">
        <v>50.625</v>
      </c>
      <c r="C2">
        <v>50.625</v>
      </c>
      <c r="G2">
        <v>1960</v>
      </c>
    </row>
    <row r="3" spans="1:9">
      <c r="A3">
        <v>1961</v>
      </c>
      <c r="B3">
        <v>45.533333333333331</v>
      </c>
      <c r="C3">
        <v>45.533333333333331</v>
      </c>
      <c r="G3">
        <v>1961</v>
      </c>
      <c r="H3" s="8">
        <v>-26.527643606403956</v>
      </c>
      <c r="I3">
        <v>-5.0916666666666686</v>
      </c>
    </row>
    <row r="4" spans="1:9">
      <c r="A4">
        <v>1962</v>
      </c>
      <c r="B4">
        <v>44.657142857142851</v>
      </c>
      <c r="C4">
        <v>44.657142857142851</v>
      </c>
      <c r="G4">
        <v>1962</v>
      </c>
      <c r="H4" s="8">
        <v>-6.3515048643384091</v>
      </c>
      <c r="I4">
        <v>-0.87619047619048018</v>
      </c>
    </row>
    <row r="5" spans="1:9">
      <c r="A5">
        <v>1963</v>
      </c>
      <c r="B5">
        <v>44.842857142857149</v>
      </c>
      <c r="C5">
        <v>44.842857142857149</v>
      </c>
      <c r="G5">
        <v>1963</v>
      </c>
      <c r="H5" s="8">
        <v>7.6222544610134122</v>
      </c>
      <c r="I5">
        <v>0.18571428571429749</v>
      </c>
    </row>
    <row r="6" spans="1:9">
      <c r="A6">
        <v>1964</v>
      </c>
      <c r="B6">
        <v>43.9</v>
      </c>
      <c r="C6">
        <v>43.9</v>
      </c>
      <c r="G6">
        <v>1964</v>
      </c>
      <c r="H6" s="8">
        <v>15.468995418830772</v>
      </c>
      <c r="I6">
        <v>-0.94285714285715017</v>
      </c>
    </row>
    <row r="7" spans="1:9">
      <c r="A7">
        <v>1965</v>
      </c>
      <c r="B7">
        <v>43.126315789473686</v>
      </c>
      <c r="C7">
        <v>43.126315789473686</v>
      </c>
      <c r="G7">
        <v>1965</v>
      </c>
      <c r="H7" s="8">
        <v>14.197889011606705</v>
      </c>
      <c r="I7">
        <v>-0.7736842105263122</v>
      </c>
    </row>
    <row r="8" spans="1:9">
      <c r="A8">
        <v>1966</v>
      </c>
      <c r="B8">
        <v>42.710526315789473</v>
      </c>
      <c r="C8">
        <v>42.710526315789473</v>
      </c>
      <c r="G8">
        <v>1966</v>
      </c>
      <c r="H8" s="8">
        <v>7.6084039282852132</v>
      </c>
      <c r="I8">
        <v>-0.41578947368421382</v>
      </c>
    </row>
    <row r="9" spans="1:9">
      <c r="A9">
        <v>1967</v>
      </c>
      <c r="B9">
        <v>42.987500000000004</v>
      </c>
      <c r="C9">
        <v>42.987500000000004</v>
      </c>
      <c r="G9">
        <v>1967</v>
      </c>
      <c r="H9" s="8">
        <v>-8.161497585287421</v>
      </c>
      <c r="I9">
        <v>0.2769736842105317</v>
      </c>
    </row>
    <row r="10" spans="1:9">
      <c r="A10">
        <v>1968</v>
      </c>
      <c r="B10">
        <v>42.680769230769229</v>
      </c>
      <c r="C10">
        <v>42.680769230769229</v>
      </c>
      <c r="G10">
        <v>1968</v>
      </c>
      <c r="H10" s="8">
        <v>-6.5714516143396793</v>
      </c>
      <c r="I10">
        <v>-0.30673076923077502</v>
      </c>
    </row>
    <row r="11" spans="1:9">
      <c r="A11">
        <v>1969</v>
      </c>
      <c r="B11">
        <v>42.500000000000007</v>
      </c>
      <c r="C11">
        <v>42.500000000000007</v>
      </c>
      <c r="G11">
        <v>1969</v>
      </c>
      <c r="H11" s="8">
        <v>13.779340343526215</v>
      </c>
      <c r="I11">
        <v>-0.18076923076922213</v>
      </c>
    </row>
    <row r="12" spans="1:9">
      <c r="A12">
        <v>1970</v>
      </c>
      <c r="B12">
        <v>43.50833333333334</v>
      </c>
      <c r="C12">
        <v>43.50833333333334</v>
      </c>
      <c r="G12">
        <v>1970</v>
      </c>
      <c r="H12" s="8">
        <v>16.050399292918542</v>
      </c>
      <c r="I12">
        <v>1.0083333333333329</v>
      </c>
    </row>
    <row r="13" spans="1:9">
      <c r="A13">
        <v>1971</v>
      </c>
      <c r="B13">
        <v>43.678378378378376</v>
      </c>
      <c r="C13">
        <v>43.678378378378376</v>
      </c>
      <c r="G13">
        <v>1971</v>
      </c>
      <c r="H13" s="8">
        <v>4.1591762013141675</v>
      </c>
      <c r="I13">
        <v>0.17004504504503615</v>
      </c>
    </row>
    <row r="14" spans="1:9">
      <c r="A14">
        <v>1972</v>
      </c>
      <c r="B14">
        <v>43.42307692307692</v>
      </c>
      <c r="C14">
        <v>43.42307692307692</v>
      </c>
      <c r="G14">
        <v>1972</v>
      </c>
      <c r="H14" s="8">
        <v>1.2901059709986384</v>
      </c>
      <c r="I14">
        <v>-0.25530145530145631</v>
      </c>
    </row>
    <row r="15" spans="1:9">
      <c r="A15">
        <v>1973</v>
      </c>
      <c r="B15">
        <v>43.574418604651164</v>
      </c>
      <c r="C15">
        <v>43.574418604651164</v>
      </c>
      <c r="G15">
        <v>1973</v>
      </c>
      <c r="H15" s="8">
        <v>5.3272930139383021</v>
      </c>
      <c r="I15">
        <v>0.15134168157424455</v>
      </c>
    </row>
    <row r="16" spans="1:9">
      <c r="A16">
        <v>1974</v>
      </c>
      <c r="B16">
        <v>44.15652173913044</v>
      </c>
      <c r="C16">
        <v>44.15652173913044</v>
      </c>
      <c r="G16">
        <v>1974</v>
      </c>
      <c r="H16" s="8">
        <v>0.21800566735925031</v>
      </c>
      <c r="I16">
        <v>0.58210313447927575</v>
      </c>
    </row>
    <row r="17" spans="1:9">
      <c r="A17">
        <v>1975</v>
      </c>
      <c r="B17">
        <v>44.051111111111112</v>
      </c>
      <c r="C17">
        <v>44.051111111111112</v>
      </c>
      <c r="G17">
        <v>1975</v>
      </c>
      <c r="H17" s="8">
        <v>6.8164405062779707</v>
      </c>
      <c r="I17">
        <v>-0.1054106280193281</v>
      </c>
    </row>
    <row r="18" spans="1:9">
      <c r="A18">
        <v>1976</v>
      </c>
      <c r="B18">
        <v>44.789361702127657</v>
      </c>
      <c r="C18">
        <v>44.789361702127657</v>
      </c>
      <c r="G18">
        <v>1976</v>
      </c>
      <c r="H18" s="8">
        <v>-3.0813219849280244</v>
      </c>
      <c r="I18">
        <v>0.73825059101654489</v>
      </c>
    </row>
    <row r="19" spans="1:9">
      <c r="A19">
        <v>1977</v>
      </c>
      <c r="B19">
        <v>43.970588235294116</v>
      </c>
      <c r="C19">
        <v>43.970588235294116</v>
      </c>
      <c r="G19">
        <v>1977</v>
      </c>
      <c r="H19" s="8">
        <v>6.114001676047593</v>
      </c>
      <c r="I19">
        <v>-0.81877346683354091</v>
      </c>
    </row>
    <row r="20" spans="1:9">
      <c r="A20">
        <v>1978</v>
      </c>
      <c r="B20">
        <v>43.962745098039214</v>
      </c>
      <c r="C20">
        <v>44.214000000000006</v>
      </c>
      <c r="G20">
        <v>1978</v>
      </c>
      <c r="H20" s="8">
        <v>9.8461568480197457</v>
      </c>
      <c r="I20">
        <v>-7.8431372549019329E-3</v>
      </c>
    </row>
    <row r="21" spans="1:9">
      <c r="A21">
        <v>1979</v>
      </c>
      <c r="B21">
        <v>43.951851851851856</v>
      </c>
      <c r="C21">
        <v>44.190566037735849</v>
      </c>
      <c r="G21">
        <v>1979</v>
      </c>
      <c r="H21" s="8">
        <v>6.1656637093229421</v>
      </c>
      <c r="I21">
        <v>-1.0893246187357875E-2</v>
      </c>
    </row>
    <row r="22" spans="1:9">
      <c r="A22">
        <v>1980</v>
      </c>
      <c r="B22">
        <v>43.766071428571422</v>
      </c>
      <c r="C22">
        <v>43.992727272727265</v>
      </c>
      <c r="G22">
        <v>1980</v>
      </c>
      <c r="H22" s="8">
        <v>6.4901126551427666</v>
      </c>
      <c r="I22">
        <v>-0.18578042328043409</v>
      </c>
    </row>
    <row r="23" spans="1:9">
      <c r="A23">
        <v>1981</v>
      </c>
      <c r="B23">
        <v>44.083870967741923</v>
      </c>
      <c r="C23">
        <v>44.2950819672131</v>
      </c>
      <c r="G23">
        <v>1981</v>
      </c>
      <c r="H23" s="8">
        <v>3.7749036646334417</v>
      </c>
      <c r="I23">
        <v>0.31779953917050108</v>
      </c>
    </row>
    <row r="24" spans="1:9">
      <c r="A24">
        <v>1982</v>
      </c>
      <c r="B24">
        <v>43.812903225806444</v>
      </c>
      <c r="C24">
        <v>44.021311475409831</v>
      </c>
      <c r="G24">
        <v>1982</v>
      </c>
      <c r="H24" s="8">
        <v>7.423410231937396</v>
      </c>
      <c r="I24">
        <v>-0.27096774193547901</v>
      </c>
    </row>
    <row r="25" spans="1:9">
      <c r="A25">
        <v>1983</v>
      </c>
      <c r="B25">
        <v>44.08888888888891</v>
      </c>
      <c r="C25">
        <v>44.298387096774213</v>
      </c>
      <c r="G25">
        <v>1983</v>
      </c>
      <c r="H25" s="8">
        <v>9.1811370495775293</v>
      </c>
      <c r="I25">
        <v>0.27598566308246575</v>
      </c>
    </row>
    <row r="26" spans="1:9">
      <c r="A26">
        <v>1984</v>
      </c>
      <c r="B26">
        <v>44.161290322580641</v>
      </c>
      <c r="C26">
        <v>44.372131147540983</v>
      </c>
      <c r="G26">
        <v>1984</v>
      </c>
      <c r="H26" s="8">
        <v>13.690019840921863</v>
      </c>
      <c r="I26">
        <v>7.2401433691730688E-2</v>
      </c>
    </row>
    <row r="27" spans="1:9">
      <c r="A27">
        <v>1985</v>
      </c>
      <c r="B27">
        <v>44.397101449275354</v>
      </c>
      <c r="C27">
        <v>44.580882352941174</v>
      </c>
      <c r="G27">
        <v>1985</v>
      </c>
      <c r="H27" s="8">
        <v>11.896561710396725</v>
      </c>
      <c r="I27">
        <v>0.23581112669471338</v>
      </c>
    </row>
    <row r="28" spans="1:9">
      <c r="A28">
        <v>1986</v>
      </c>
      <c r="B28">
        <v>45.00533333333334</v>
      </c>
      <c r="C28">
        <v>45.172972972972978</v>
      </c>
      <c r="G28">
        <v>1986</v>
      </c>
      <c r="H28" s="8">
        <v>7.341433471286777</v>
      </c>
      <c r="I28">
        <v>0.60823188405798589</v>
      </c>
    </row>
    <row r="29" spans="1:9">
      <c r="A29">
        <v>1987</v>
      </c>
      <c r="B29">
        <v>44.618666666666677</v>
      </c>
      <c r="C29">
        <v>44.771621621621641</v>
      </c>
      <c r="G29">
        <v>1987</v>
      </c>
      <c r="H29" s="8">
        <v>9.8811637958546186</v>
      </c>
      <c r="I29">
        <v>-0.38666666666666316</v>
      </c>
    </row>
    <row r="30" spans="1:9">
      <c r="A30">
        <v>1988</v>
      </c>
      <c r="B30">
        <v>43.610869565217378</v>
      </c>
      <c r="C30">
        <v>43.713186813186802</v>
      </c>
      <c r="G30">
        <v>1988</v>
      </c>
      <c r="H30" s="8">
        <v>9.4461713568776844</v>
      </c>
      <c r="I30">
        <v>-1.0077971014492988</v>
      </c>
    </row>
    <row r="31" spans="1:9">
      <c r="A31">
        <v>1989</v>
      </c>
      <c r="B31">
        <v>44.229702970297026</v>
      </c>
      <c r="C31">
        <v>44.321000000000005</v>
      </c>
      <c r="G31">
        <v>1989</v>
      </c>
      <c r="H31" s="8">
        <v>2.6208591749210086</v>
      </c>
      <c r="I31">
        <v>0.61883340507964846</v>
      </c>
    </row>
    <row r="32" spans="1:9">
      <c r="A32">
        <v>1990</v>
      </c>
      <c r="B32">
        <v>44.038999999999987</v>
      </c>
      <c r="C32">
        <v>44.12222222222222</v>
      </c>
      <c r="G32">
        <v>1990</v>
      </c>
      <c r="H32" s="8">
        <v>2.4065585719958307</v>
      </c>
      <c r="I32">
        <v>-0.19070297029703909</v>
      </c>
    </row>
    <row r="33" spans="1:9">
      <c r="A33">
        <v>1991</v>
      </c>
      <c r="B33">
        <v>44.62222222222222</v>
      </c>
      <c r="C33">
        <v>44.705102040816328</v>
      </c>
      <c r="G33">
        <v>1991</v>
      </c>
      <c r="H33" s="8">
        <v>7.7820919905075669</v>
      </c>
      <c r="I33">
        <v>0.58322222222223274</v>
      </c>
    </row>
    <row r="34" spans="1:9">
      <c r="A34">
        <v>1992</v>
      </c>
      <c r="B34">
        <v>44.74761904761904</v>
      </c>
      <c r="C34">
        <v>44.818269230769225</v>
      </c>
      <c r="G34">
        <v>1992</v>
      </c>
      <c r="H34" s="8">
        <v>12.833209580712321</v>
      </c>
      <c r="I34">
        <v>0.12539682539681962</v>
      </c>
    </row>
    <row r="35" spans="1:9">
      <c r="A35">
        <v>1993</v>
      </c>
      <c r="B35">
        <v>45.612931034482749</v>
      </c>
      <c r="C35">
        <v>45.677391304347807</v>
      </c>
      <c r="G35">
        <v>1993</v>
      </c>
      <c r="H35" s="8">
        <v>12.581996643928477</v>
      </c>
      <c r="I35">
        <v>0.86531198686370914</v>
      </c>
    </row>
    <row r="36" spans="1:9">
      <c r="A36">
        <v>1994</v>
      </c>
      <c r="B36">
        <v>45.803305785123975</v>
      </c>
      <c r="C36">
        <v>45.860833333333339</v>
      </c>
      <c r="G36">
        <v>1994</v>
      </c>
      <c r="H36" s="8">
        <v>11.766389145624629</v>
      </c>
      <c r="I36">
        <v>0.19037475064122589</v>
      </c>
    </row>
    <row r="37" spans="1:9">
      <c r="A37">
        <v>1995</v>
      </c>
      <c r="B37">
        <v>45.896694214876021</v>
      </c>
      <c r="C37">
        <v>45.950833333333314</v>
      </c>
      <c r="G37">
        <v>1995</v>
      </c>
      <c r="H37" s="8">
        <v>9.7549548902020149</v>
      </c>
      <c r="I37">
        <v>9.338842975204642E-2</v>
      </c>
    </row>
    <row r="38" spans="1:9">
      <c r="A38">
        <v>1996</v>
      </c>
      <c r="B38">
        <v>45.89469696969698</v>
      </c>
      <c r="C38">
        <v>45.94198473282443</v>
      </c>
      <c r="G38">
        <v>1996</v>
      </c>
      <c r="H38" s="8">
        <v>8.7764298105264231</v>
      </c>
      <c r="I38">
        <v>-1.9972451790408741E-3</v>
      </c>
    </row>
    <row r="39" spans="1:9">
      <c r="A39">
        <v>1997</v>
      </c>
      <c r="B39">
        <v>45.789552238805967</v>
      </c>
      <c r="C39">
        <v>45.832330827067658</v>
      </c>
      <c r="G39">
        <v>1997</v>
      </c>
      <c r="H39" s="8">
        <v>8.1244975770177632</v>
      </c>
      <c r="I39">
        <v>-0.10514473089101273</v>
      </c>
    </row>
    <row r="40" spans="1:9">
      <c r="A40">
        <v>1998</v>
      </c>
      <c r="B40">
        <v>45.803787878787887</v>
      </c>
      <c r="C40">
        <v>45.842748091603056</v>
      </c>
      <c r="G40">
        <v>1998</v>
      </c>
      <c r="H40" s="8">
        <v>6.8160645646963047</v>
      </c>
      <c r="I40">
        <v>1.4235639981919235E-2</v>
      </c>
    </row>
    <row r="41" spans="1:9">
      <c r="A41">
        <v>1999</v>
      </c>
      <c r="B41">
        <v>45.68623188405796</v>
      </c>
      <c r="C41">
        <v>45.718248175182474</v>
      </c>
      <c r="G41">
        <v>1999</v>
      </c>
      <c r="H41" s="8">
        <v>6.7334856584344607</v>
      </c>
      <c r="I41">
        <v>-0.11755599472992628</v>
      </c>
    </row>
    <row r="42" spans="1:9">
      <c r="A42">
        <v>2000</v>
      </c>
      <c r="B42">
        <v>45.993661971830996</v>
      </c>
      <c r="C42">
        <v>46.022695035461005</v>
      </c>
      <c r="G42">
        <v>2000</v>
      </c>
      <c r="H42" s="8">
        <v>7.6385976760329442</v>
      </c>
      <c r="I42">
        <v>0.30743008777303515</v>
      </c>
    </row>
    <row r="43" spans="1:9">
      <c r="A43">
        <v>2001</v>
      </c>
      <c r="B43">
        <v>46.076551724137936</v>
      </c>
      <c r="C43">
        <v>46.10208333333334</v>
      </c>
      <c r="G43">
        <v>2001</v>
      </c>
      <c r="H43" s="8">
        <v>7.5516548315526393</v>
      </c>
      <c r="I43">
        <v>8.2889752306940068E-2</v>
      </c>
    </row>
    <row r="44" spans="1:9">
      <c r="A44">
        <v>2002</v>
      </c>
      <c r="B44">
        <v>46.359712230215834</v>
      </c>
      <c r="C44">
        <v>46.384782608695659</v>
      </c>
      <c r="G44">
        <v>2002</v>
      </c>
      <c r="H44" s="8">
        <v>8.4048799751456471</v>
      </c>
      <c r="I44">
        <v>0.28316050607789833</v>
      </c>
    </row>
    <row r="45" spans="1:9">
      <c r="A45">
        <v>2003</v>
      </c>
      <c r="B45">
        <v>46.084563758389258</v>
      </c>
      <c r="C45">
        <v>46.097972972972961</v>
      </c>
      <c r="G45">
        <v>2003</v>
      </c>
      <c r="H45" s="8">
        <v>9.3547766439077407</v>
      </c>
      <c r="I45">
        <v>-0.27514847182657576</v>
      </c>
    </row>
    <row r="46" spans="1:9">
      <c r="A46">
        <v>2004</v>
      </c>
      <c r="B46">
        <v>46.425827814569523</v>
      </c>
      <c r="C46">
        <v>46.434666666666665</v>
      </c>
      <c r="G46">
        <v>2004</v>
      </c>
      <c r="H46" s="8">
        <v>9.4615587704990958</v>
      </c>
      <c r="I46">
        <v>0.34126405618026467</v>
      </c>
    </row>
    <row r="47" spans="1:9">
      <c r="A47">
        <v>2005</v>
      </c>
      <c r="B47">
        <v>46.350326797385613</v>
      </c>
      <c r="C47">
        <v>46.3532894736842</v>
      </c>
      <c r="G47">
        <v>2005</v>
      </c>
      <c r="H47" s="8">
        <v>10.741375126402914</v>
      </c>
      <c r="I47">
        <v>-7.5501017183910335E-2</v>
      </c>
    </row>
    <row r="48" spans="1:9">
      <c r="A48">
        <v>2006</v>
      </c>
      <c r="B48">
        <v>45.848765432098752</v>
      </c>
      <c r="C48">
        <v>45.844099378881971</v>
      </c>
      <c r="G48">
        <v>2006</v>
      </c>
      <c r="H48" s="8">
        <v>12.093304693902439</v>
      </c>
      <c r="I48">
        <v>-0.50156136528686091</v>
      </c>
    </row>
    <row r="49" spans="1:9">
      <c r="A49">
        <v>2007</v>
      </c>
      <c r="B49">
        <v>45.634545454545467</v>
      </c>
      <c r="C49">
        <v>45.624390243902454</v>
      </c>
      <c r="G49">
        <v>2007</v>
      </c>
      <c r="H49" s="8">
        <v>13.635820500640762</v>
      </c>
      <c r="I49">
        <v>-0.21421997755328448</v>
      </c>
    </row>
    <row r="50" spans="1:9">
      <c r="A50">
        <v>2008</v>
      </c>
      <c r="B50">
        <v>45.666463414634165</v>
      </c>
      <c r="C50">
        <v>45.652760736196342</v>
      </c>
      <c r="G50">
        <v>2008</v>
      </c>
      <c r="H50" s="8">
        <v>9.0902801015361803</v>
      </c>
      <c r="I50">
        <v>3.1917960088698294E-2</v>
      </c>
    </row>
    <row r="51" spans="1:9">
      <c r="A51">
        <v>2009</v>
      </c>
      <c r="B51">
        <v>45.731137724550926</v>
      </c>
      <c r="C51">
        <v>45.715662650602447</v>
      </c>
      <c r="G51">
        <v>2009</v>
      </c>
      <c r="H51" s="8">
        <v>8.8559476755555124</v>
      </c>
      <c r="I51">
        <v>6.4674309916760819E-2</v>
      </c>
    </row>
    <row r="52" spans="1:9">
      <c r="A52">
        <v>2010</v>
      </c>
      <c r="B52">
        <v>45.573456790123487</v>
      </c>
      <c r="C52">
        <v>45.55403726708078</v>
      </c>
      <c r="G52">
        <v>2010</v>
      </c>
      <c r="H52" s="8">
        <v>10.102832622713947</v>
      </c>
      <c r="I52">
        <v>-0.15768093442743947</v>
      </c>
    </row>
    <row r="53" spans="1:9">
      <c r="A53">
        <v>2011</v>
      </c>
      <c r="B53">
        <v>45.511538461538471</v>
      </c>
      <c r="C53">
        <v>45.488387096774211</v>
      </c>
      <c r="G53">
        <v>2011</v>
      </c>
      <c r="H53" s="8">
        <v>8.9538160418316295</v>
      </c>
      <c r="I53">
        <v>-6.1918328585015558E-2</v>
      </c>
    </row>
    <row r="54" spans="1:9">
      <c r="A54">
        <v>2012</v>
      </c>
      <c r="B54">
        <v>45.505161290322569</v>
      </c>
      <c r="C54">
        <v>45.48181818181817</v>
      </c>
      <c r="G54">
        <v>2012</v>
      </c>
      <c r="H54" s="8">
        <v>7.1345237774802683</v>
      </c>
      <c r="I54">
        <v>-6.3771712159024219E-3</v>
      </c>
    </row>
    <row r="55" spans="1:9">
      <c r="A55">
        <v>2013</v>
      </c>
      <c r="B55">
        <v>45.45032679738565</v>
      </c>
      <c r="C55">
        <v>45.425657894736872</v>
      </c>
      <c r="G55">
        <v>2013</v>
      </c>
      <c r="H55" s="8">
        <v>7.0507341338182101</v>
      </c>
      <c r="I55">
        <v>-5.4834492936919332E-2</v>
      </c>
    </row>
    <row r="56" spans="1:9">
      <c r="A56">
        <v>2014</v>
      </c>
      <c r="B56">
        <v>45.637671232876734</v>
      </c>
      <c r="C56">
        <v>45.637671232876734</v>
      </c>
      <c r="G56">
        <v>2014</v>
      </c>
      <c r="H56" s="8">
        <v>6.7507603159427276</v>
      </c>
      <c r="I56">
        <v>0.18734443549108448</v>
      </c>
    </row>
    <row r="57" spans="1:9">
      <c r="A57">
        <v>2015</v>
      </c>
      <c r="B57">
        <v>45.453968253968249</v>
      </c>
      <c r="C57">
        <v>45.426399999999994</v>
      </c>
      <c r="G57">
        <v>2015</v>
      </c>
      <c r="H57" s="8">
        <v>6.4207364772305624</v>
      </c>
      <c r="I57">
        <v>-0.18370297890848519</v>
      </c>
    </row>
    <row r="58" spans="1:9">
      <c r="A58">
        <v>2016</v>
      </c>
      <c r="B58">
        <v>45.534920634920631</v>
      </c>
      <c r="C58">
        <v>45.507999999999996</v>
      </c>
      <c r="G58">
        <v>2016</v>
      </c>
      <c r="H58" s="8">
        <v>6.2382154477522533</v>
      </c>
      <c r="I58">
        <v>8.0952380952382441E-2</v>
      </c>
    </row>
    <row r="59" spans="1:9">
      <c r="A59">
        <v>2017</v>
      </c>
      <c r="B59">
        <v>44.964601769911511</v>
      </c>
      <c r="C59">
        <v>44.927678571428579</v>
      </c>
      <c r="G59">
        <v>2017</v>
      </c>
      <c r="H59" s="8">
        <v>6.3018631005226098</v>
      </c>
      <c r="I59">
        <v>-0.57031886500912066</v>
      </c>
    </row>
    <row r="60" spans="1:9">
      <c r="A60">
        <v>2018</v>
      </c>
      <c r="B60">
        <v>45.101020408163265</v>
      </c>
      <c r="C60">
        <v>45.056701030927833</v>
      </c>
      <c r="G60">
        <v>2018</v>
      </c>
      <c r="H60" s="8">
        <v>6.2517005556988323</v>
      </c>
      <c r="I60">
        <v>0.13641863825175449</v>
      </c>
    </row>
    <row r="61" spans="1:9">
      <c r="A61">
        <v>2019</v>
      </c>
      <c r="B61">
        <v>45.115662650602403</v>
      </c>
      <c r="C61">
        <v>45.065853658536575</v>
      </c>
      <c r="G61">
        <v>2019</v>
      </c>
      <c r="H61" s="8">
        <v>5.5753168630384948</v>
      </c>
      <c r="I61">
        <v>1.4642242439137476E-2</v>
      </c>
    </row>
    <row r="62" spans="1:9">
      <c r="A62">
        <v>2020</v>
      </c>
      <c r="B62">
        <v>45.876056338028164</v>
      </c>
      <c r="C62">
        <v>45.828571428571422</v>
      </c>
      <c r="G62">
        <v>2020</v>
      </c>
      <c r="H62" s="8">
        <v>1.9955580418692875</v>
      </c>
      <c r="I62">
        <v>0.7603936874257613</v>
      </c>
    </row>
    <row r="63" spans="1:9">
      <c r="A63">
        <v>2021</v>
      </c>
      <c r="B63">
        <v>45.535185185185178</v>
      </c>
      <c r="C63">
        <v>45.535185185185178</v>
      </c>
      <c r="G63">
        <v>2021</v>
      </c>
      <c r="H63" s="8">
        <v>8.3507297147041157</v>
      </c>
      <c r="I63">
        <v>-0.34087115284298619</v>
      </c>
    </row>
    <row r="64" spans="1:9">
      <c r="A64">
        <v>2022</v>
      </c>
      <c r="B64">
        <v>44.67</v>
      </c>
      <c r="C64">
        <v>44.67</v>
      </c>
      <c r="G64">
        <v>2022</v>
      </c>
      <c r="H64" s="8">
        <v>3.0042967632348194</v>
      </c>
      <c r="I64">
        <v>-0.86518518518517595</v>
      </c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secondary" Type="http://schemas.openxmlformats.org/officeDocument/2006/relationships/image" Target="images/secondary.png"/><Relationship Id="primary" Type="http://schemas.openxmlformats.org/officeDocument/2006/relationships/image" Target="images/primary.png"/></Relationships>
</file>

<file path=customUI/customUI14.xml><?xml version="1.0" encoding="utf-8"?>
<customUI xmlns="http://schemas.microsoft.com/office/2009/07/customui">
  <ribbon>
    <tabs>
      <tab id="octab" insertAfterMso="TabHome" label="Norad">
        <group id="GroupGrafs" label="Formater Grafer">
          <button id="formaterChartPrimary" tag="ExtendColors" size="large" image="primary" label="Formater graf (palett A)&#13;(Ikke kombiner palett A og B)" onAction="FormatChart"/>
          <button id="formaterChartSecondary" tag="SecondaryColors" size="large" image="secondary" label="Formater graf (palett B)&#13;(Ikke kombiner palett A og B)" onAction="Format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A1E61DE2950454199DE48643DA29519" ma:contentTypeVersion="16" ma:contentTypeDescription="Opprett et nytt dokument." ma:contentTypeScope="" ma:versionID="3a9347a56f8cc048aad8eada2d9d48fe">
  <xsd:schema xmlns:xsd="http://www.w3.org/2001/XMLSchema" xmlns:xs="http://www.w3.org/2001/XMLSchema" xmlns:p="http://schemas.microsoft.com/office/2006/metadata/properties" xmlns:ns2="6de1254c-4246-4fb5-ba30-c56835a7bf48" xmlns:ns3="0a0e3947-1e71-4d7c-8db9-057f4b04e435" targetNamespace="http://schemas.microsoft.com/office/2006/metadata/properties" ma:root="true" ma:fieldsID="6ab1211786944dc550c0f6f4694a6678" ns2:_="" ns3:_="">
    <xsd:import namespace="6de1254c-4246-4fb5-ba30-c56835a7bf48"/>
    <xsd:import namespace="0a0e3947-1e71-4d7c-8db9-057f4b04e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e1254c-4246-4fb5-ba30-c56835a7bf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ildemerkelapper" ma:readOnly="false" ma:fieldId="{5cf76f15-5ced-4ddc-b409-7134ff3c332f}" ma:taxonomyMulti="true" ma:sspId="96bbc6b8-f51d-486b-9945-7ad67a69105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0e3947-1e71-4d7c-8db9-057f4b04e43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2162608-848d-4af8-b989-37e01c543f39}" ma:internalName="TaxCatchAll" ma:showField="CatchAllData" ma:web="0a0e3947-1e71-4d7c-8db9-057f4b04e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9719187E-B4CC-4D13-8259-6AE73A367A37}"/>
</file>

<file path=customXml/itemProps2.xml><?xml version="1.0" encoding="utf-8"?>
<ds:datastoreItem xmlns:ds="http://schemas.openxmlformats.org/officeDocument/2006/customXml" ds:itemID="{8750AB88-ECC8-4967-8723-823D3DD25113}"/>
</file>

<file path=customXml/itemProps3.xml><?xml version="1.0" encoding="utf-8"?>
<ds:datastoreItem xmlns:ds="http://schemas.openxmlformats.org/officeDocument/2006/customXml" ds:itemID="{BA1F7F09-0E31-4322-89D8-C7E8CDFBBB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Casti, Carola</dc:creator>
  <cp:keywords/>
  <dc:description/>
  <cp:lastModifiedBy>Casti, Carola</cp:lastModifiedBy>
  <cp:revision/>
  <dcterms:created xsi:type="dcterms:W3CDTF">2022-11-18T09:56:49Z</dcterms:created>
  <dcterms:modified xsi:type="dcterms:W3CDTF">2023-11-09T14:24:57Z</dcterms:modified>
  <cp:category/>
  <cp:contentStatus/>
</cp:coreProperties>
</file>